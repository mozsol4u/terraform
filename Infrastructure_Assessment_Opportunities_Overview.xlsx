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deloitte.sharepoint.com/sites/MohawkMedbuyProposal/Shared Documents/ONE HITS IT Infrastructure Strategy/5. Interviews &amp; Surveys/Technical Questions/Infrastructure - Current State Assessment/"/>
    </mc:Choice>
  </mc:AlternateContent>
  <xr:revisionPtr revIDLastSave="134" documentId="8_{0AF5A0B7-41A3-45F4-8386-8BD821812CAD}" xr6:coauthVersionLast="47" xr6:coauthVersionMax="47" xr10:uidLastSave="{0460E27E-E150-4E09-A850-A501C5741350}"/>
  <bookViews>
    <workbookView xWindow="28680" yWindow="-120" windowWidth="29040" windowHeight="15720" activeTab="2" xr2:uid="{7B1F08A7-078C-42F4-87E3-C29335132075}"/>
  </bookViews>
  <sheets>
    <sheet name="Infra Assessment-Overview" sheetId="1" r:id="rId1"/>
    <sheet name="% Distribution of Assessment " sheetId="3" r:id="rId2"/>
    <sheet name="Opportunities" sheetId="2" r:id="rId3"/>
  </sheets>
  <definedNames>
    <definedName name="_xlnm._FilterDatabase" localSheetId="0" hidden="1">'Infra Assessment-Overview'!$A$2:$D$33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3" l="1"/>
  <c r="G19" i="3" s="1"/>
  <c r="G7" i="3"/>
  <c r="G17" i="3"/>
  <c r="G16" i="3"/>
  <c r="G6" i="3"/>
  <c r="G5" i="3"/>
  <c r="G4" i="3"/>
  <c r="D9" i="3"/>
  <c r="D8" i="3"/>
  <c r="D7" i="3"/>
  <c r="D6" i="3"/>
  <c r="D5" i="3"/>
  <c r="D4" i="3"/>
  <c r="D10" i="3"/>
  <c r="D16" i="3"/>
  <c r="D17" i="3"/>
  <c r="D18" i="3"/>
  <c r="D19" i="3"/>
  <c r="D20" i="3"/>
  <c r="D21" i="3"/>
  <c r="D22" i="3"/>
  <c r="D23" i="3"/>
  <c r="D24" i="3"/>
  <c r="D25" i="3"/>
  <c r="D26" i="3"/>
</calcChain>
</file>

<file path=xl/sharedStrings.xml><?xml version="1.0" encoding="utf-8"?>
<sst xmlns="http://schemas.openxmlformats.org/spreadsheetml/2006/main" count="248" uniqueCount="166">
  <si>
    <t>Assessment Area</t>
  </si>
  <si>
    <t>Current State (23 Hospitals)</t>
  </si>
  <si>
    <t>Future State (35 Hospitals)</t>
  </si>
  <si>
    <t>Compute Capacity</t>
  </si>
  <si>
    <t>Adequate</t>
  </si>
  <si>
    <t>Adequate with Reduced Growth Capacity</t>
  </si>
  <si>
    <t>Current systems can support operations today, but new hospitals will reduce available expansion capacity.</t>
  </si>
  <si>
    <t>Storage Capacity</t>
  </si>
  <si>
    <t>Adequate – Monitor Growth</t>
  </si>
  <si>
    <t>Storage is healthy today (~70% used). There is still usable space, but growth should be closely monitored as usage increases.</t>
  </si>
  <si>
    <t>Network Infrastructure (ACI)</t>
  </si>
  <si>
    <t>Strong</t>
  </si>
  <si>
    <t>Network design is modern and scalable for expected growth.</t>
  </si>
  <si>
    <t>Backup &amp; Recovery Platform</t>
  </si>
  <si>
    <t>Increased Demand</t>
  </si>
  <si>
    <t>Backup systems are strong, but workload will increase as more hospitals come online.</t>
  </si>
  <si>
    <t>Power Infrastructure</t>
  </si>
  <si>
    <t>Electrical capacity and UPS systems are sufficient for current and planned operations.</t>
  </si>
  <si>
    <t>Generator Resilience</t>
  </si>
  <si>
    <t>Backup generators and fuel arrangements provide strong outage protection.</t>
  </si>
  <si>
    <t>Rack Power Capacity</t>
  </si>
  <si>
    <t>Monitor for Growth</t>
  </si>
  <si>
    <t>Potential Constraint</t>
  </si>
  <si>
    <t>Power per rack (6 kW) may limit future expansion of high-density systems.</t>
  </si>
  <si>
    <t>Growth Capacity</t>
  </si>
  <si>
    <t>Limited</t>
  </si>
  <si>
    <t>Adding 12 hospitals will significantly reduce available spare capacity across systems.</t>
  </si>
  <si>
    <t>Disaster Recovery Readiness</t>
  </si>
  <si>
    <t>Challenging</t>
  </si>
  <si>
    <t>Significant Risk</t>
  </si>
  <si>
    <t>Disaster recovery exists but is complex and difficult to execute quickly during a major outage.</t>
  </si>
  <si>
    <t>Business Continuity</t>
  </si>
  <si>
    <t>Moderate Risk</t>
  </si>
  <si>
    <t>High Risk</t>
  </si>
  <si>
    <t>As more hospitals rely on central systems, the impact of any outage becomes much larger.</t>
  </si>
  <si>
    <t>Perimeter Firewall</t>
  </si>
  <si>
    <t>WAN Connectivity's</t>
  </si>
  <si>
    <t>Critical Risk</t>
  </si>
  <si>
    <t>Internet Redundancy</t>
  </si>
  <si>
    <t>Internal Server Firewall</t>
  </si>
  <si>
    <t>Security is weaker inside the data center because server-level firewalls are turned off.</t>
  </si>
  <si>
    <t>Active Directory Trust Design</t>
  </si>
  <si>
    <t>Multiple trust models across systems create complexity and inconsistent security boundaries.</t>
  </si>
  <si>
    <t>Operating System Standardization</t>
  </si>
  <si>
    <t>Mixed operating systems are manageable today but will become harder to maintain over time.</t>
  </si>
  <si>
    <t>File Protocol Security (SMB)</t>
  </si>
  <si>
    <t>Modern file protocol is available but not fully enforced due to legacy application requirements.</t>
  </si>
  <si>
    <t>Cyber Recovery Coverage</t>
  </si>
  <si>
    <t>Backup and recovery plans do not fully cover all core systems such as identity services and infrastructure.</t>
  </si>
  <si>
    <t>MEDITECH File Server Availability</t>
  </si>
  <si>
    <t>Some critical systems depend on single components, increasing risk during failures.</t>
  </si>
  <si>
    <t>MEDITECH Production Applications</t>
  </si>
  <si>
    <t>Some production services do not have full redundancy, which can affect hospital operations.</t>
  </si>
  <si>
    <t>Security Monitoring (CrowdStrike / SIEM)</t>
  </si>
  <si>
    <t>Continuous monitoring provides strong visibility into cyber threats.</t>
  </si>
  <si>
    <t>Penetration Testing Program</t>
  </si>
  <si>
    <t>Regular security testing helps identify weaknesses before they are exploited.</t>
  </si>
  <si>
    <t>Incident Management System</t>
  </si>
  <si>
    <t>Structured process ensures issues are tracked and resolved effectively.</t>
  </si>
  <si>
    <t>User Access Control</t>
  </si>
  <si>
    <t>Strong access controls help prevent unauthorized access to systems.</t>
  </si>
  <si>
    <t>Vendor SLA Management</t>
  </si>
  <si>
    <t>Vendor support agreements are in place and actively managed.</t>
  </si>
  <si>
    <t>Hardware Warranty Coverage</t>
  </si>
  <si>
    <t>All infrastructure hardware is covered under warranty, reducing hardware failure risk.</t>
  </si>
  <si>
    <t>OS Patch Management</t>
  </si>
  <si>
    <t>Operating system updates are managed in a structured and controlled way.</t>
  </si>
  <si>
    <t>Application Patch Management</t>
  </si>
  <si>
    <t>Application updates exist but may become harder to coordinate as the environment grows.</t>
  </si>
  <si>
    <t>Centralized Monitoring Platform</t>
  </si>
  <si>
    <t>Critial Risk</t>
  </si>
  <si>
    <t>No single unified monitoring system exists across internal Datacenter team and Current supporting vendor, limiting end-to-end visibility of application and infrastructure health.</t>
  </si>
  <si>
    <t>Change Advisory Board (CAB)</t>
  </si>
  <si>
    <t>Changes are formally reviewed and approved before being implemented.</t>
  </si>
  <si>
    <t>Code Release Governance (COE Model)</t>
  </si>
  <si>
    <t>Critical Gap</t>
  </si>
  <si>
    <t>There is no central team or standard process for managing application releases, which can lead to inconsistency and coordination challenges as systems grow.</t>
  </si>
  <si>
    <t>Observation</t>
  </si>
  <si>
    <t>Enterprise-grade perimeter protection in place.</t>
  </si>
  <si>
    <t xml:space="preserve">The environment relies on a single ISP provider 1 Gbps connectivity to Ontario health and 1 Gbps for Internet access. </t>
  </si>
  <si>
    <t>The lack of secondary ISP provider creates a single point of failure and limits bandwidth and resiliency as hospital connectivity demand increases.</t>
  </si>
  <si>
    <t>Infrastructure Assessment - Overview</t>
  </si>
  <si>
    <t>Opportunity Area</t>
  </si>
  <si>
    <t>Current Challenge</t>
  </si>
  <si>
    <t>WAN &amp; Connectivity Resilience</t>
  </si>
  <si>
    <t>Single ISP with 1 Gbps OHIP + Internet connectivity creates a single point of failure</t>
  </si>
  <si>
    <t>Introduce secondary ISP and increase bandwidth planning for future growth</t>
  </si>
  <si>
    <t>Improved uptime, reduced outage risk, and better support for hospital expansion</t>
  </si>
  <si>
    <t>Disaster Recovery Modernization</t>
  </si>
  <si>
    <t>DR exists but is complex, difficult to execute, and not fully optimized for scale</t>
  </si>
  <si>
    <t>Improved recovery capability, reduced outage impact, and lower transformation risk with a controlled path to modern DR</t>
  </si>
  <si>
    <t>Identity Architecture Simplification</t>
  </si>
  <si>
    <t>Dual forests and mixed trust models increase complexity</t>
  </si>
  <si>
    <t>Rationalize identity architecture and standardize trust relationships</t>
  </si>
  <si>
    <t>Simplified administration, stronger security consistency, easier scaling</t>
  </si>
  <si>
    <t>Internal Security Hardening</t>
  </si>
  <si>
    <t>Windows host firewall disabled across servers</t>
  </si>
  <si>
    <t>Reintroduce controlled host-level firewall and internal segmentation controls</t>
  </si>
  <si>
    <t>Reduced lateral movement risk and improved ransomware protection</t>
  </si>
  <si>
    <t>Cyber Recovery Expansion</t>
  </si>
  <si>
    <t>Full enterprise recovery capability during cyber incidents</t>
  </si>
  <si>
    <t>MEDITECH Application Resilience</t>
  </si>
  <si>
    <t>Improved clinical system reliability and reduced service disruption</t>
  </si>
  <si>
    <t>Unified Monitoring Platform</t>
  </si>
  <si>
    <t>Separate monitoring tools (PRTG + vendor tools) with no central view</t>
  </si>
  <si>
    <t>Implement a centralized monitoring and correlation platform</t>
  </si>
  <si>
    <t>Faster incident detection and improved operational visibility</t>
  </si>
  <si>
    <t>No centralized release governance model exists</t>
  </si>
  <si>
    <t>Establish a centralized COE for application release management</t>
  </si>
  <si>
    <t>Consistent deployments, reduced errors, improved coordination</t>
  </si>
  <si>
    <t>Capacity &amp; Storage Planning</t>
  </si>
  <si>
    <t>Storage is at ~70% physical utilization with limited forward forecasting</t>
  </si>
  <si>
    <t>Implement proactive capacity forecasting and threshold-based planning</t>
  </si>
  <si>
    <t>Avoid capacity bottlenecks and ensure smooth hospital onboarding</t>
  </si>
  <si>
    <t>Operational Standardization</t>
  </si>
  <si>
    <t>Mixed OS versions and environment inconsistencies across systems</t>
  </si>
  <si>
    <t>Increase standardization of OS, configurations, and environments</t>
  </si>
  <si>
    <t>Reduced operational complexity and improved maintainability</t>
  </si>
  <si>
    <t>Option</t>
  </si>
  <si>
    <t>Description</t>
  </si>
  <si>
    <t>Benefits</t>
  </si>
  <si>
    <t>Risks / Challenges</t>
  </si>
  <si>
    <t>A. Hybrid DR Model (Recommended DR in Cloud, Current DC as Primary)</t>
  </si>
  <si>
    <t>B. Cloud as Primary, Existing DC as DR</t>
  </si>
  <si>
    <t>Move production MEDITECH workload to cloud and retain current datacenter as DR site</t>
  </si>
  <si>
    <t>Increase Cyber recovery appliance capacity and Extend cyber recovery to include AD, core infrastructure, other business applications and dependencies</t>
  </si>
  <si>
    <t>Recovery scope focused mainly on MEDITECH, not full infrastructure nor other business applications</t>
  </si>
  <si>
    <t>DR - Options</t>
  </si>
  <si>
    <t>Infrastructure Opportunities</t>
  </si>
  <si>
    <r>
      <t xml:space="preserve">Implement a </t>
    </r>
    <r>
      <rPr>
        <b/>
        <sz val="11"/>
        <color theme="1"/>
        <rFont val="Aptos Narrow"/>
        <family val="2"/>
        <scheme val="minor"/>
      </rPr>
      <t>Hybrid DR model</t>
    </r>
    <r>
      <rPr>
        <sz val="11"/>
        <color theme="1"/>
        <rFont val="Aptos Narrow"/>
        <family val="2"/>
        <scheme val="minor"/>
      </rPr>
      <t xml:space="preserve"> see below options</t>
    </r>
  </si>
  <si>
    <t xml:space="preserve">Challenging </t>
  </si>
  <si>
    <t xml:space="preserve">Potential Constraint </t>
  </si>
  <si>
    <t>Status</t>
  </si>
  <si>
    <t>Definitions</t>
  </si>
  <si>
    <r>
      <rPr>
        <b/>
        <sz val="11"/>
        <color theme="1"/>
        <rFont val="Aptos Narrow"/>
        <family val="2"/>
        <scheme val="minor"/>
      </rPr>
      <t xml:space="preserve">i) </t>
    </r>
    <r>
      <rPr>
        <sz val="11"/>
        <color theme="1"/>
        <rFont val="Aptos Narrow"/>
        <family val="2"/>
        <scheme val="minor"/>
      </rPr>
      <t xml:space="preserve">Lower disruption to current operations
</t>
    </r>
    <r>
      <rPr>
        <b/>
        <sz val="11"/>
        <color theme="1"/>
        <rFont val="Aptos Narrow"/>
        <family val="2"/>
        <scheme val="minor"/>
      </rPr>
      <t xml:space="preserve">ii) </t>
    </r>
    <r>
      <rPr>
        <sz val="11"/>
        <color theme="1"/>
        <rFont val="Aptos Narrow"/>
        <family val="2"/>
        <scheme val="minor"/>
      </rPr>
      <t xml:space="preserve">Faster implementation
</t>
    </r>
    <r>
      <rPr>
        <b/>
        <sz val="11"/>
        <color theme="1"/>
        <rFont val="Aptos Narrow"/>
        <family val="2"/>
        <scheme val="minor"/>
      </rPr>
      <t>iii)</t>
    </r>
    <r>
      <rPr>
        <sz val="11"/>
        <color theme="1"/>
        <rFont val="Aptos Narrow"/>
        <family val="2"/>
        <scheme val="minor"/>
      </rPr>
      <t xml:space="preserve"> Keeps current stable production environment intact
</t>
    </r>
    <r>
      <rPr>
        <b/>
        <sz val="11"/>
        <color theme="1"/>
        <rFont val="Aptos Narrow"/>
        <family val="2"/>
        <scheme val="minor"/>
      </rPr>
      <t>iv)</t>
    </r>
    <r>
      <rPr>
        <sz val="11"/>
        <color theme="1"/>
        <rFont val="Aptos Narrow"/>
        <family val="2"/>
        <scheme val="minor"/>
      </rPr>
      <t xml:space="preserve"> Cloud used only during disaster scenarios</t>
    </r>
  </si>
  <si>
    <r>
      <rPr>
        <b/>
        <sz val="11"/>
        <color theme="1"/>
        <rFont val="Aptos Narrow"/>
        <family val="2"/>
        <scheme val="minor"/>
      </rPr>
      <t>i)</t>
    </r>
    <r>
      <rPr>
        <sz val="11"/>
        <color theme="1"/>
        <rFont val="Aptos Narrow"/>
        <family val="2"/>
        <scheme val="minor"/>
      </rPr>
      <t xml:space="preserve"> Modern architecture approach
</t>
    </r>
    <r>
      <rPr>
        <b/>
        <sz val="11"/>
        <color theme="1"/>
        <rFont val="Aptos Narrow"/>
        <family val="2"/>
        <scheme val="minor"/>
      </rPr>
      <t>ii)</t>
    </r>
    <r>
      <rPr>
        <sz val="11"/>
        <color theme="1"/>
        <rFont val="Aptos Narrow"/>
        <family val="2"/>
        <scheme val="minor"/>
      </rPr>
      <t xml:space="preserve"> Reduced dependency on physical datacenter
</t>
    </r>
    <r>
      <rPr>
        <b/>
        <sz val="11"/>
        <color theme="1"/>
        <rFont val="Aptos Narrow"/>
        <family val="2"/>
        <scheme val="minor"/>
      </rPr>
      <t>iii)</t>
    </r>
    <r>
      <rPr>
        <sz val="11"/>
        <color theme="1"/>
        <rFont val="Aptos Narrow"/>
        <family val="2"/>
        <scheme val="minor"/>
      </rPr>
      <t xml:space="preserve"> Long-term scalability and flexibility</t>
    </r>
  </si>
  <si>
    <t>Inconsistent High Availability (HA) across file services and application components</t>
  </si>
  <si>
    <t>Standardize High Availability (HA) design across MEDITECH workloads and remove single points of failure</t>
  </si>
  <si>
    <t>Immediate or significant business risk requiring attention</t>
  </si>
  <si>
    <t>Major risk that could materially affect operations</t>
  </si>
  <si>
    <t>Elevated risk requiring mitigation planning</t>
  </si>
  <si>
    <t>Manageable risk requiring monitoring</t>
  </si>
  <si>
    <t>Functional but difficult to operate or recover</t>
  </si>
  <si>
    <t>May limit future growth or resilience</t>
  </si>
  <si>
    <t>Insuffificent flexibility or capacity for long-term needs</t>
  </si>
  <si>
    <t>Meets current requirements</t>
  </si>
  <si>
    <t>Well-positioned and resilient</t>
  </si>
  <si>
    <t>Grand Total</t>
  </si>
  <si>
    <t>Row Labels</t>
  </si>
  <si>
    <t>Count of Assessment Area</t>
  </si>
  <si>
    <t>Adequate - Strong</t>
  </si>
  <si>
    <t>Challenging - Risk</t>
  </si>
  <si>
    <t>Monitor</t>
  </si>
  <si>
    <t>Current State</t>
  </si>
  <si>
    <t>Future State</t>
  </si>
  <si>
    <r>
      <rPr>
        <b/>
        <sz val="11"/>
        <color theme="1"/>
        <rFont val="Aptos Narrow"/>
        <family val="2"/>
        <scheme val="minor"/>
      </rPr>
      <t>i)</t>
    </r>
    <r>
      <rPr>
        <sz val="11"/>
        <color theme="1"/>
        <rFont val="Aptos Narrow"/>
        <family val="2"/>
        <scheme val="minor"/>
      </rPr>
      <t xml:space="preserve"> DR complexity still exists
</t>
    </r>
    <r>
      <rPr>
        <b/>
        <sz val="11"/>
        <color theme="1"/>
        <rFont val="Aptos Narrow"/>
        <family val="2"/>
        <scheme val="minor"/>
      </rPr>
      <t>ii)</t>
    </r>
    <r>
      <rPr>
        <sz val="11"/>
        <color theme="1"/>
        <rFont val="Aptos Narrow"/>
        <family val="2"/>
        <scheme val="minor"/>
      </rPr>
      <t xml:space="preserve"> Requires strong network and data replication design
</t>
    </r>
    <r>
      <rPr>
        <b/>
        <sz val="11"/>
        <color theme="1"/>
        <rFont val="Aptos Narrow"/>
        <family val="2"/>
        <scheme val="minor"/>
      </rPr>
      <t>iii)</t>
    </r>
    <r>
      <rPr>
        <sz val="11"/>
        <color theme="1"/>
        <rFont val="Aptos Narrow"/>
        <family val="2"/>
        <scheme val="minor"/>
      </rPr>
      <t xml:space="preserve"> DR testing must be highly disciplined
</t>
    </r>
    <r>
      <rPr>
        <b/>
        <sz val="11"/>
        <color theme="1"/>
        <rFont val="Aptos Narrow"/>
        <family val="2"/>
        <scheme val="minor"/>
      </rPr>
      <t>iv)</t>
    </r>
    <r>
      <rPr>
        <sz val="11"/>
        <color theme="1"/>
        <rFont val="Aptos Narrow"/>
        <family val="2"/>
        <scheme val="minor"/>
      </rPr>
      <t xml:space="preserve"> Some dependency on WAN/cloud connectivity</t>
    </r>
  </si>
  <si>
    <r>
      <rPr>
        <b/>
        <sz val="11"/>
        <color theme="1"/>
        <rFont val="Aptos Narrow"/>
        <family val="2"/>
        <scheme val="minor"/>
      </rPr>
      <t>i)</t>
    </r>
    <r>
      <rPr>
        <sz val="11"/>
        <color theme="1"/>
        <rFont val="Aptos Narrow"/>
        <family val="2"/>
        <scheme val="minor"/>
      </rPr>
      <t xml:space="preserve"> Very high complexity for MEDITECH production workloads
</t>
    </r>
    <r>
      <rPr>
        <b/>
        <sz val="11"/>
        <color theme="1"/>
        <rFont val="Aptos Narrow"/>
        <family val="2"/>
        <scheme val="minor"/>
      </rPr>
      <t>ii)</t>
    </r>
    <r>
      <rPr>
        <sz val="11"/>
        <color theme="1"/>
        <rFont val="Aptos Narrow"/>
        <family val="2"/>
        <scheme val="minor"/>
      </rPr>
      <t xml:space="preserve"> Heavy dependency on vendor validation (MEDITECH Expanse cloud readiness constraints)
</t>
    </r>
    <r>
      <rPr>
        <b/>
        <sz val="11"/>
        <color theme="1"/>
        <rFont val="Aptos Narrow"/>
        <family val="2"/>
        <scheme val="minor"/>
      </rPr>
      <t>iii)</t>
    </r>
    <r>
      <rPr>
        <sz val="11"/>
        <color theme="1"/>
        <rFont val="Aptos Narrow"/>
        <family val="2"/>
        <scheme val="minor"/>
      </rPr>
      <t xml:space="preserve"> Major migration effort and risk to clinical operations
</t>
    </r>
    <r>
      <rPr>
        <b/>
        <sz val="11"/>
        <color theme="1"/>
        <rFont val="Aptos Narrow"/>
        <family val="2"/>
        <scheme val="minor"/>
      </rPr>
      <t>iv)</t>
    </r>
    <r>
      <rPr>
        <sz val="11"/>
        <color theme="1"/>
        <rFont val="Aptos Narrow"/>
        <family val="2"/>
        <scheme val="minor"/>
      </rPr>
      <t xml:space="preserve"> Significant change management impact across hospitals</t>
    </r>
  </si>
  <si>
    <t>Optimize/Enhance or Transform or Build New</t>
  </si>
  <si>
    <t>Rough Timelines</t>
  </si>
  <si>
    <t>Opportunity and Details</t>
  </si>
  <si>
    <t xml:space="preserve">Keep existing datacenter as primary site and use a cloud-based footprint (aligned with MEDITECH Expanse guidance) as DR 
Assess and define the future-state model for data centres (e.g., consolidated off-site vs. optimized dual-site usage), including ownership, resilience, and cost considerations.
Current data centre (2 system) 
Option a: If no cloud: active/passive environment they need to increase bandwith between the two locations to match the meditech millisecond latency 
Option b: Adopt hybrid DR model: 1 data centre active, cloud footprint will be the DR side </t>
  </si>
  <si>
    <t xml:space="preserve">Option a: optimize/enhance 
Option b: transform – engage meditech to understand cloud requirements, engage vendors (dell emc, isp, cisco etc) </t>
  </si>
  <si>
    <t xml:space="preserve">Option a: engage ISPs, dependent on ISP timelines and ONE HITS configuration would be about 2-3 months
Option b: 8-12 months </t>
  </si>
  <si>
    <t>Optimize/Enhance – capability is already in place but requires improvements – budget will be ongoing on already in place</t>
  </si>
  <si>
    <t>Transform – structural and capability change (new budget)</t>
  </si>
  <si>
    <t>Build new – need to fully build out a new system, large change (new budget)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</si>
</sst>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3" borderId="1" xfId="0" applyFont="1" applyFill="1" applyBorder="1" applyAlignment="1">
      <alignment horizontal="center"/>
    </xf>
    <xf numFmtId="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[Infrastructure_Assessment_Opportunities_Overview.xlsx]% Distribution of Assessment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 Distribution of Assessment 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'% Distribution of Assessment '!$B$4:$B$11</c:f>
              <c:strCache>
                <c:ptCount val="7"/>
                <c:pt idx="0">
                  <c:v>Adequate</c:v>
                </c:pt>
                <c:pt idx="1">
                  <c:v>Challenging</c:v>
                </c:pt>
                <c:pt idx="2">
                  <c:v>Critical Risk</c:v>
                </c:pt>
                <c:pt idx="3">
                  <c:v>Moderate Risk</c:v>
                </c:pt>
                <c:pt idx="4">
                  <c:v>Monitor for Growth</c:v>
                </c:pt>
                <c:pt idx="5">
                  <c:v>Potential Constraint</c:v>
                </c:pt>
                <c:pt idx="6">
                  <c:v>Strong</c:v>
                </c:pt>
              </c:strCache>
            </c:strRef>
          </c:cat>
          <c:val>
            <c:numRef>
              <c:f>'% Distribution of Assessment '!$C$4:$C$11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9B8-4423-8470-EE3BDB2F2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80559"/>
        <c:axId val="92181519"/>
      </c:barChart>
      <c:catAx>
        <c:axId val="921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1519"/>
        <c:crosses val="autoZero"/>
        <c:auto val="1"/>
        <c:lblAlgn val="ctr"/>
        <c:lblOffset val="100"/>
        <c:noMultiLvlLbl val="0"/>
      </c:catAx>
      <c:valAx>
        <c:axId val="921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21</xdr:row>
      <xdr:rowOff>61912</xdr:rowOff>
    </xdr:from>
    <xdr:to>
      <xdr:col>23</xdr:col>
      <xdr:colOff>228600</xdr:colOff>
      <xdr:row>36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D85F9-FB5B-8DB4-4317-739E01E27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ena, Rudy" refreshedDate="46197.491897106484" createdVersion="8" refreshedVersion="8" minRefreshableVersion="3" recordCount="31" xr:uid="{096DF4F4-6505-4CE7-8C53-E52A4F01FAF3}">
  <cacheSource type="worksheet">
    <worksheetSource ref="A2:D33" sheet="Infra Assessment-Overview"/>
  </cacheSource>
  <cacheFields count="4">
    <cacheField name="Assessment Area" numFmtId="0">
      <sharedItems count="31">
        <s v="Compute Capacity"/>
        <s v="Storage Capacity"/>
        <s v="Network Infrastructure (ACI)"/>
        <s v="Backup &amp; Recovery Platform"/>
        <s v="Power Infrastructure"/>
        <s v="Generator Resilience"/>
        <s v="Rack Power Capacity"/>
        <s v="Growth Capacity"/>
        <s v="Disaster Recovery Readiness"/>
        <s v="Business Continuity"/>
        <s v="Perimeter Firewall"/>
        <s v="WAN Connectivity's"/>
        <s v="Internet Redundancy"/>
        <s v="Internal Server Firewall"/>
        <s v="Active Directory Trust Design"/>
        <s v="Operating System Standardization"/>
        <s v="File Protocol Security (SMB)"/>
        <s v="Cyber Recovery Coverage"/>
        <s v="MEDITECH File Server Availability"/>
        <s v="MEDITECH Production Applications"/>
        <s v="Security Monitoring (CrowdStrike / SIEM)"/>
        <s v="Penetration Testing Program"/>
        <s v="Incident Management System"/>
        <s v="User Access Control"/>
        <s v="Vendor SLA Management"/>
        <s v="Hardware Warranty Coverage"/>
        <s v="OS Patch Management"/>
        <s v="Application Patch Management"/>
        <s v="Centralized Monitoring Platform"/>
        <s v="Change Advisory Board (CAB)"/>
        <s v="Code Release Governance (COE Model)"/>
      </sharedItems>
    </cacheField>
    <cacheField name="Current State (23 Hospitals)" numFmtId="0">
      <sharedItems count="7">
        <s v="Adequate"/>
        <s v="Strong"/>
        <s v="Monitor for Growth"/>
        <s v="Challenging"/>
        <s v="Moderate Risk"/>
        <s v="Potential Constraint"/>
        <s v="Critical Risk"/>
      </sharedItems>
    </cacheField>
    <cacheField name="Future State (35 Hospitals)" numFmtId="0">
      <sharedItems count="11">
        <s v="Adequate with Reduced Growth Capacity"/>
        <s v="Adequate – Monitor Growth"/>
        <s v="Strong"/>
        <s v="Increased Demand"/>
        <s v="Potential Constraint"/>
        <s v="Limited"/>
        <s v="Significant Risk"/>
        <s v="High Risk"/>
        <s v="Critical Risk"/>
        <s v="Critial Risk"/>
        <s v="Critical Gap"/>
      </sharedItems>
    </cacheField>
    <cacheField name="Observ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s v="Current systems can support operations today, but new hospitals will reduce available expansion capacity."/>
  </r>
  <r>
    <x v="1"/>
    <x v="0"/>
    <x v="1"/>
    <s v="Storage is healthy today (~70% used). There is still usable space, but growth should be closely monitored as usage increases."/>
  </r>
  <r>
    <x v="2"/>
    <x v="1"/>
    <x v="2"/>
    <s v="Network design is modern and scalable for expected growth."/>
  </r>
  <r>
    <x v="3"/>
    <x v="1"/>
    <x v="3"/>
    <s v="Backup systems are strong, but workload will increase as more hospitals come online."/>
  </r>
  <r>
    <x v="4"/>
    <x v="1"/>
    <x v="2"/>
    <s v="Electrical capacity and UPS systems are sufficient for current and planned operations."/>
  </r>
  <r>
    <x v="5"/>
    <x v="1"/>
    <x v="2"/>
    <s v="Backup generators and fuel arrangements provide strong outage protection."/>
  </r>
  <r>
    <x v="6"/>
    <x v="2"/>
    <x v="4"/>
    <s v="Power per rack (6 kW) may limit future expansion of high-density systems."/>
  </r>
  <r>
    <x v="7"/>
    <x v="0"/>
    <x v="5"/>
    <s v="Adding 12 hospitals will significantly reduce available spare capacity across systems."/>
  </r>
  <r>
    <x v="8"/>
    <x v="3"/>
    <x v="6"/>
    <s v="Disaster recovery exists but is complex and difficult to execute quickly during a major outage."/>
  </r>
  <r>
    <x v="9"/>
    <x v="4"/>
    <x v="7"/>
    <s v="As more hospitals rely on central systems, the impact of any outage becomes much larger."/>
  </r>
  <r>
    <x v="10"/>
    <x v="1"/>
    <x v="2"/>
    <s v="Enterprise-grade perimeter protection in place."/>
  </r>
  <r>
    <x v="11"/>
    <x v="5"/>
    <x v="8"/>
    <s v="The environment relies on a single ISP provider 1 Gbps connectivity to Ontario health and 1 Gbps for Internet access. "/>
  </r>
  <r>
    <x v="12"/>
    <x v="6"/>
    <x v="8"/>
    <s v="The lack of secondary ISP provider creates a single point of failure and limits bandwidth and resiliency as hospital connectivity demand increases."/>
  </r>
  <r>
    <x v="13"/>
    <x v="6"/>
    <x v="8"/>
    <s v="Security is weaker inside the data center because server-level firewalls are turned off."/>
  </r>
  <r>
    <x v="14"/>
    <x v="5"/>
    <x v="8"/>
    <s v="Multiple trust models across systems create complexity and inconsistent security boundaries."/>
  </r>
  <r>
    <x v="15"/>
    <x v="0"/>
    <x v="4"/>
    <s v="Mixed operating systems are manageable today but will become harder to maintain over time."/>
  </r>
  <r>
    <x v="16"/>
    <x v="0"/>
    <x v="4"/>
    <s v="Modern file protocol is available but not fully enforced due to legacy application requirements."/>
  </r>
  <r>
    <x v="17"/>
    <x v="6"/>
    <x v="8"/>
    <s v="Backup and recovery plans do not fully cover all core systems such as identity services and infrastructure."/>
  </r>
  <r>
    <x v="18"/>
    <x v="5"/>
    <x v="8"/>
    <s v="Some critical systems depend on single components, increasing risk during failures."/>
  </r>
  <r>
    <x v="19"/>
    <x v="6"/>
    <x v="8"/>
    <s v="Some production services do not have full redundancy, which can affect hospital operations."/>
  </r>
  <r>
    <x v="20"/>
    <x v="1"/>
    <x v="2"/>
    <s v="Continuous monitoring provides strong visibility into cyber threats."/>
  </r>
  <r>
    <x v="21"/>
    <x v="1"/>
    <x v="2"/>
    <s v="Regular security testing helps identify weaknesses before they are exploited."/>
  </r>
  <r>
    <x v="22"/>
    <x v="1"/>
    <x v="2"/>
    <s v="Structured process ensures issues are tracked and resolved effectively."/>
  </r>
  <r>
    <x v="23"/>
    <x v="1"/>
    <x v="2"/>
    <s v="Strong access controls help prevent unauthorized access to systems."/>
  </r>
  <r>
    <x v="24"/>
    <x v="1"/>
    <x v="2"/>
    <s v="Vendor support agreements are in place and actively managed."/>
  </r>
  <r>
    <x v="25"/>
    <x v="1"/>
    <x v="2"/>
    <s v="All infrastructure hardware is covered under warranty, reducing hardware failure risk."/>
  </r>
  <r>
    <x v="26"/>
    <x v="1"/>
    <x v="2"/>
    <s v="Operating system updates are managed in a structured and controlled way."/>
  </r>
  <r>
    <x v="27"/>
    <x v="0"/>
    <x v="4"/>
    <s v="Application updates exist but may become harder to coordinate as the environment grows."/>
  </r>
  <r>
    <x v="28"/>
    <x v="5"/>
    <x v="9"/>
    <s v="No single unified monitoring system exists across internal Datacenter team and Current supporting vendor, limiting end-to-end visibility of application and infrastructure health."/>
  </r>
  <r>
    <x v="29"/>
    <x v="1"/>
    <x v="2"/>
    <s v="Changes are formally reviewed and approved before being implemented."/>
  </r>
  <r>
    <x v="30"/>
    <x v="5"/>
    <x v="10"/>
    <s v="There is no central team or standard process for managing application releases, which can lead to inconsistency and coordination challenges as systems grow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9B567-96A1-47D4-88A4-ECA06CAAED8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5:C27" firstHeaderRow="1" firstDataRow="1" firstDataCol="1"/>
  <pivotFields count="4">
    <pivotField dataField="1" showAll="0">
      <items count="32">
        <item x="14"/>
        <item x="27"/>
        <item x="3"/>
        <item x="9"/>
        <item x="28"/>
        <item x="29"/>
        <item x="30"/>
        <item x="0"/>
        <item x="17"/>
        <item x="8"/>
        <item x="16"/>
        <item x="5"/>
        <item x="7"/>
        <item x="25"/>
        <item x="22"/>
        <item x="13"/>
        <item x="12"/>
        <item x="18"/>
        <item x="19"/>
        <item x="2"/>
        <item x="15"/>
        <item x="26"/>
        <item x="21"/>
        <item x="10"/>
        <item x="4"/>
        <item x="6"/>
        <item x="20"/>
        <item x="1"/>
        <item x="23"/>
        <item x="24"/>
        <item x="11"/>
        <item t="default"/>
      </items>
    </pivotField>
    <pivotField showAll="0">
      <items count="8">
        <item x="0"/>
        <item x="3"/>
        <item x="6"/>
        <item x="4"/>
        <item x="2"/>
        <item x="5"/>
        <item x="1"/>
        <item t="default"/>
      </items>
    </pivotField>
    <pivotField axis="axisRow" showAll="0">
      <items count="12">
        <item x="1"/>
        <item x="0"/>
        <item x="9"/>
        <item x="10"/>
        <item x="8"/>
        <item x="7"/>
        <item x="3"/>
        <item x="5"/>
        <item x="4"/>
        <item x="6"/>
        <item x="2"/>
        <item t="default"/>
      </items>
    </pivotField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ssessment Area" fld="0" subtotal="count" baseField="0" baseItem="0"/>
  </dataFields>
  <chartFormats count="1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6568-C117-4853-995D-2ACCAABF711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1" firstHeaderRow="1" firstDataRow="1" firstDataCol="1"/>
  <pivotFields count="4">
    <pivotField dataField="1" showAll="0">
      <items count="32">
        <item x="14"/>
        <item x="27"/>
        <item x="3"/>
        <item x="9"/>
        <item x="28"/>
        <item x="29"/>
        <item x="30"/>
        <item x="0"/>
        <item x="17"/>
        <item x="8"/>
        <item x="16"/>
        <item x="5"/>
        <item x="7"/>
        <item x="25"/>
        <item x="22"/>
        <item x="13"/>
        <item x="12"/>
        <item x="18"/>
        <item x="19"/>
        <item x="2"/>
        <item x="15"/>
        <item x="26"/>
        <item x="21"/>
        <item x="10"/>
        <item x="4"/>
        <item x="6"/>
        <item x="20"/>
        <item x="1"/>
        <item x="23"/>
        <item x="24"/>
        <item x="11"/>
        <item t="default"/>
      </items>
    </pivotField>
    <pivotField axis="axisRow" showAll="0">
      <items count="8">
        <item x="0"/>
        <item x="3"/>
        <item x="6"/>
        <item x="4"/>
        <item x="2"/>
        <item x="5"/>
        <item x="1"/>
        <item t="default"/>
      </items>
    </pivotField>
    <pivotField showAll="0">
      <items count="12">
        <item x="1"/>
        <item x="0"/>
        <item x="9"/>
        <item x="10"/>
        <item x="8"/>
        <item x="7"/>
        <item x="3"/>
        <item x="5"/>
        <item x="4"/>
        <item x="6"/>
        <item x="2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ssessment Area" fld="0" subtotal="count" baseField="0" baseItem="0"/>
  </dataFields>
  <chartFormats count="1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2CD6-1224-401C-87E4-CE21B3F7E3B4}">
  <dimension ref="A1:J33"/>
  <sheetViews>
    <sheetView workbookViewId="0">
      <selection activeCell="A15" sqref="A15"/>
    </sheetView>
  </sheetViews>
  <sheetFormatPr defaultRowHeight="14.5" x14ac:dyDescent="0.35"/>
  <cols>
    <col min="1" max="1" width="19.36328125" customWidth="1"/>
    <col min="2" max="2" width="27.08984375" customWidth="1"/>
    <col min="3" max="3" width="28.1796875" customWidth="1"/>
    <col min="4" max="4" width="54.08984375" customWidth="1"/>
    <col min="9" max="9" width="18.26953125" bestFit="1" customWidth="1"/>
    <col min="10" max="10" width="71.36328125" customWidth="1"/>
  </cols>
  <sheetData>
    <row r="1" spans="1:10" x14ac:dyDescent="0.35">
      <c r="A1" s="9" t="s">
        <v>81</v>
      </c>
      <c r="B1" s="9"/>
      <c r="C1" s="9"/>
      <c r="D1" s="9"/>
    </row>
    <row r="2" spans="1:10" x14ac:dyDescent="0.35">
      <c r="A2" s="1" t="s">
        <v>0</v>
      </c>
      <c r="B2" s="1" t="s">
        <v>1</v>
      </c>
      <c r="C2" s="1" t="s">
        <v>2</v>
      </c>
      <c r="D2" s="1" t="s">
        <v>77</v>
      </c>
    </row>
    <row r="3" spans="1:10" ht="42.5" customHeight="1" x14ac:dyDescent="0.35">
      <c r="A3" s="2" t="s">
        <v>3</v>
      </c>
      <c r="B3" s="2" t="s">
        <v>4</v>
      </c>
      <c r="C3" s="2" t="s">
        <v>5</v>
      </c>
      <c r="D3" s="2" t="s">
        <v>6</v>
      </c>
    </row>
    <row r="4" spans="1:10" ht="58.5" customHeight="1" x14ac:dyDescent="0.35">
      <c r="A4" s="2" t="s">
        <v>7</v>
      </c>
      <c r="B4" s="2" t="s">
        <v>4</v>
      </c>
      <c r="C4" s="2" t="s">
        <v>8</v>
      </c>
      <c r="D4" s="2" t="s">
        <v>9</v>
      </c>
      <c r="I4" s="4" t="s">
        <v>132</v>
      </c>
      <c r="J4" s="4" t="s">
        <v>133</v>
      </c>
    </row>
    <row r="5" spans="1:10" ht="46.5" customHeight="1" x14ac:dyDescent="0.35">
      <c r="A5" s="2" t="s">
        <v>10</v>
      </c>
      <c r="B5" s="2" t="s">
        <v>11</v>
      </c>
      <c r="C5" s="2" t="s">
        <v>11</v>
      </c>
      <c r="D5" s="2" t="s">
        <v>12</v>
      </c>
      <c r="I5" s="5" t="s">
        <v>37</v>
      </c>
      <c r="J5" s="5" t="s">
        <v>138</v>
      </c>
    </row>
    <row r="6" spans="1:10" ht="42.5" customHeight="1" x14ac:dyDescent="0.35">
      <c r="A6" s="2" t="s">
        <v>13</v>
      </c>
      <c r="B6" s="2" t="s">
        <v>11</v>
      </c>
      <c r="C6" s="2" t="s">
        <v>14</v>
      </c>
      <c r="D6" s="2" t="s">
        <v>15</v>
      </c>
      <c r="I6" s="5" t="s">
        <v>29</v>
      </c>
      <c r="J6" s="5" t="s">
        <v>139</v>
      </c>
    </row>
    <row r="7" spans="1:10" ht="39" customHeight="1" x14ac:dyDescent="0.35">
      <c r="A7" s="2" t="s">
        <v>16</v>
      </c>
      <c r="B7" s="2" t="s">
        <v>11</v>
      </c>
      <c r="C7" s="2" t="s">
        <v>11</v>
      </c>
      <c r="D7" s="2" t="s">
        <v>17</v>
      </c>
      <c r="I7" s="5" t="s">
        <v>33</v>
      </c>
      <c r="J7" s="5" t="s">
        <v>140</v>
      </c>
    </row>
    <row r="8" spans="1:10" ht="37.5" customHeight="1" x14ac:dyDescent="0.35">
      <c r="A8" s="2" t="s">
        <v>18</v>
      </c>
      <c r="B8" s="2" t="s">
        <v>11</v>
      </c>
      <c r="C8" s="2" t="s">
        <v>11</v>
      </c>
      <c r="D8" s="2" t="s">
        <v>19</v>
      </c>
      <c r="I8" s="5" t="s">
        <v>32</v>
      </c>
      <c r="J8" s="5" t="s">
        <v>141</v>
      </c>
    </row>
    <row r="9" spans="1:10" ht="40.5" customHeight="1" x14ac:dyDescent="0.35">
      <c r="A9" s="2" t="s">
        <v>20</v>
      </c>
      <c r="B9" s="2" t="s">
        <v>21</v>
      </c>
      <c r="C9" s="2" t="s">
        <v>22</v>
      </c>
      <c r="D9" s="2" t="s">
        <v>23</v>
      </c>
      <c r="I9" s="5" t="s">
        <v>130</v>
      </c>
      <c r="J9" s="5" t="s">
        <v>142</v>
      </c>
    </row>
    <row r="10" spans="1:10" ht="40.5" customHeight="1" x14ac:dyDescent="0.35">
      <c r="A10" s="2" t="s">
        <v>24</v>
      </c>
      <c r="B10" s="2" t="s">
        <v>4</v>
      </c>
      <c r="C10" s="2" t="s">
        <v>25</v>
      </c>
      <c r="D10" s="2" t="s">
        <v>26</v>
      </c>
      <c r="I10" s="5" t="s">
        <v>131</v>
      </c>
      <c r="J10" s="5" t="s">
        <v>143</v>
      </c>
    </row>
    <row r="11" spans="1:10" ht="39" customHeight="1" x14ac:dyDescent="0.35">
      <c r="A11" s="2" t="s">
        <v>27</v>
      </c>
      <c r="B11" s="2" t="s">
        <v>29</v>
      </c>
      <c r="C11" s="2" t="s">
        <v>29</v>
      </c>
      <c r="D11" s="2" t="s">
        <v>30</v>
      </c>
      <c r="I11" s="5" t="s">
        <v>25</v>
      </c>
      <c r="J11" s="5" t="s">
        <v>144</v>
      </c>
    </row>
    <row r="12" spans="1:10" ht="42.5" customHeight="1" x14ac:dyDescent="0.35">
      <c r="A12" s="2" t="s">
        <v>31</v>
      </c>
      <c r="B12" s="2" t="s">
        <v>32</v>
      </c>
      <c r="C12" s="2" t="s">
        <v>33</v>
      </c>
      <c r="D12" s="2" t="s">
        <v>34</v>
      </c>
      <c r="I12" s="5" t="s">
        <v>4</v>
      </c>
      <c r="J12" s="5" t="s">
        <v>145</v>
      </c>
    </row>
    <row r="13" spans="1:10" ht="28" customHeight="1" x14ac:dyDescent="0.35">
      <c r="A13" s="2" t="s">
        <v>35</v>
      </c>
      <c r="B13" s="2" t="s">
        <v>11</v>
      </c>
      <c r="C13" s="2" t="s">
        <v>11</v>
      </c>
      <c r="D13" s="2" t="s">
        <v>78</v>
      </c>
      <c r="I13" s="5" t="s">
        <v>11</v>
      </c>
      <c r="J13" s="5" t="s">
        <v>146</v>
      </c>
    </row>
    <row r="14" spans="1:10" ht="87" customHeight="1" x14ac:dyDescent="0.35">
      <c r="A14" s="2" t="s">
        <v>36</v>
      </c>
      <c r="B14" s="2" t="s">
        <v>22</v>
      </c>
      <c r="C14" s="2" t="s">
        <v>37</v>
      </c>
      <c r="D14" s="2" t="s">
        <v>79</v>
      </c>
    </row>
    <row r="15" spans="1:10" ht="54" customHeight="1" x14ac:dyDescent="0.35">
      <c r="A15" s="2" t="s">
        <v>38</v>
      </c>
      <c r="B15" s="2" t="s">
        <v>37</v>
      </c>
      <c r="C15" s="2" t="s">
        <v>37</v>
      </c>
      <c r="D15" s="2" t="s">
        <v>80</v>
      </c>
    </row>
    <row r="16" spans="1:10" ht="39.5" customHeight="1" x14ac:dyDescent="0.35">
      <c r="A16" s="2" t="s">
        <v>39</v>
      </c>
      <c r="B16" s="2" t="s">
        <v>37</v>
      </c>
      <c r="C16" s="2" t="s">
        <v>37</v>
      </c>
      <c r="D16" s="2" t="s">
        <v>40</v>
      </c>
    </row>
    <row r="17" spans="1:4" ht="45.5" customHeight="1" x14ac:dyDescent="0.35">
      <c r="A17" s="2" t="s">
        <v>41</v>
      </c>
      <c r="B17" s="2" t="s">
        <v>22</v>
      </c>
      <c r="C17" s="2" t="s">
        <v>37</v>
      </c>
      <c r="D17" s="2" t="s">
        <v>42</v>
      </c>
    </row>
    <row r="18" spans="1:4" ht="42.5" customHeight="1" x14ac:dyDescent="0.35">
      <c r="A18" s="2" t="s">
        <v>43</v>
      </c>
      <c r="B18" s="2" t="s">
        <v>4</v>
      </c>
      <c r="C18" s="2" t="s">
        <v>22</v>
      </c>
      <c r="D18" s="2" t="s">
        <v>44</v>
      </c>
    </row>
    <row r="19" spans="1:4" ht="44" customHeight="1" x14ac:dyDescent="0.35">
      <c r="A19" s="2" t="s">
        <v>45</v>
      </c>
      <c r="B19" s="2" t="s">
        <v>4</v>
      </c>
      <c r="C19" s="2" t="s">
        <v>22</v>
      </c>
      <c r="D19" s="2" t="s">
        <v>46</v>
      </c>
    </row>
    <row r="20" spans="1:4" ht="42" customHeight="1" x14ac:dyDescent="0.35">
      <c r="A20" s="2" t="s">
        <v>47</v>
      </c>
      <c r="B20" s="2" t="s">
        <v>37</v>
      </c>
      <c r="C20" s="2" t="s">
        <v>37</v>
      </c>
      <c r="D20" s="2" t="s">
        <v>48</v>
      </c>
    </row>
    <row r="21" spans="1:4" ht="41" customHeight="1" x14ac:dyDescent="0.35">
      <c r="A21" s="2" t="s">
        <v>49</v>
      </c>
      <c r="B21" s="2" t="s">
        <v>22</v>
      </c>
      <c r="C21" s="2" t="s">
        <v>37</v>
      </c>
      <c r="D21" s="2" t="s">
        <v>50</v>
      </c>
    </row>
    <row r="22" spans="1:4" ht="44" customHeight="1" x14ac:dyDescent="0.35">
      <c r="A22" s="2" t="s">
        <v>51</v>
      </c>
      <c r="B22" s="2" t="s">
        <v>37</v>
      </c>
      <c r="C22" s="2" t="s">
        <v>37</v>
      </c>
      <c r="D22" s="2" t="s">
        <v>52</v>
      </c>
    </row>
    <row r="23" spans="1:4" ht="39.5" customHeight="1" x14ac:dyDescent="0.35">
      <c r="A23" s="2" t="s">
        <v>53</v>
      </c>
      <c r="B23" s="2" t="s">
        <v>11</v>
      </c>
      <c r="C23" s="2" t="s">
        <v>11</v>
      </c>
      <c r="D23" s="2" t="s">
        <v>54</v>
      </c>
    </row>
    <row r="24" spans="1:4" ht="39.5" customHeight="1" x14ac:dyDescent="0.35">
      <c r="A24" s="2" t="s">
        <v>55</v>
      </c>
      <c r="B24" s="2" t="s">
        <v>11</v>
      </c>
      <c r="C24" s="2" t="s">
        <v>11</v>
      </c>
      <c r="D24" s="2" t="s">
        <v>56</v>
      </c>
    </row>
    <row r="25" spans="1:4" ht="46.5" customHeight="1" x14ac:dyDescent="0.35">
      <c r="A25" s="2" t="s">
        <v>57</v>
      </c>
      <c r="B25" s="2" t="s">
        <v>11</v>
      </c>
      <c r="C25" s="2" t="s">
        <v>11</v>
      </c>
      <c r="D25" s="2" t="s">
        <v>58</v>
      </c>
    </row>
    <row r="26" spans="1:4" ht="38" customHeight="1" x14ac:dyDescent="0.35">
      <c r="A26" s="2" t="s">
        <v>59</v>
      </c>
      <c r="B26" s="2" t="s">
        <v>11</v>
      </c>
      <c r="C26" s="2" t="s">
        <v>11</v>
      </c>
      <c r="D26" s="2" t="s">
        <v>60</v>
      </c>
    </row>
    <row r="27" spans="1:4" ht="42" customHeight="1" x14ac:dyDescent="0.35">
      <c r="A27" s="2" t="s">
        <v>61</v>
      </c>
      <c r="B27" s="2" t="s">
        <v>11</v>
      </c>
      <c r="C27" s="2" t="s">
        <v>11</v>
      </c>
      <c r="D27" s="2" t="s">
        <v>62</v>
      </c>
    </row>
    <row r="28" spans="1:4" ht="38" customHeight="1" x14ac:dyDescent="0.35">
      <c r="A28" s="2" t="s">
        <v>63</v>
      </c>
      <c r="B28" s="2" t="s">
        <v>11</v>
      </c>
      <c r="C28" s="2" t="s">
        <v>11</v>
      </c>
      <c r="D28" s="2" t="s">
        <v>64</v>
      </c>
    </row>
    <row r="29" spans="1:4" ht="44" customHeight="1" x14ac:dyDescent="0.35">
      <c r="A29" s="2" t="s">
        <v>65</v>
      </c>
      <c r="B29" s="2" t="s">
        <v>11</v>
      </c>
      <c r="C29" s="2" t="s">
        <v>11</v>
      </c>
      <c r="D29" s="2" t="s">
        <v>66</v>
      </c>
    </row>
    <row r="30" spans="1:4" ht="44" customHeight="1" x14ac:dyDescent="0.35">
      <c r="A30" s="2" t="s">
        <v>67</v>
      </c>
      <c r="B30" s="2" t="s">
        <v>4</v>
      </c>
      <c r="C30" s="2" t="s">
        <v>22</v>
      </c>
      <c r="D30" s="2" t="s">
        <v>68</v>
      </c>
    </row>
    <row r="31" spans="1:4" ht="71" customHeight="1" x14ac:dyDescent="0.35">
      <c r="A31" s="2" t="s">
        <v>69</v>
      </c>
      <c r="B31" s="2" t="s">
        <v>22</v>
      </c>
      <c r="C31" s="2" t="s">
        <v>70</v>
      </c>
      <c r="D31" s="2" t="s">
        <v>71</v>
      </c>
    </row>
    <row r="32" spans="1:4" ht="45" customHeight="1" x14ac:dyDescent="0.35">
      <c r="A32" s="2" t="s">
        <v>72</v>
      </c>
      <c r="B32" s="2" t="s">
        <v>11</v>
      </c>
      <c r="C32" s="2" t="s">
        <v>11</v>
      </c>
      <c r="D32" s="2" t="s">
        <v>73</v>
      </c>
    </row>
    <row r="33" spans="1:4" ht="65.5" customHeight="1" x14ac:dyDescent="0.35">
      <c r="A33" s="2" t="s">
        <v>74</v>
      </c>
      <c r="B33" s="2" t="s">
        <v>22</v>
      </c>
      <c r="C33" s="2" t="s">
        <v>75</v>
      </c>
      <c r="D33" s="2" t="s">
        <v>76</v>
      </c>
    </row>
  </sheetData>
  <autoFilter ref="A2:D33" xr:uid="{1AEE2CD6-1224-401C-87E4-CE21B3F7E3B4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9813-4E7C-4EEF-810F-F9787675C18B}">
  <dimension ref="B3:G27"/>
  <sheetViews>
    <sheetView workbookViewId="0">
      <selection activeCell="C30" sqref="C30"/>
    </sheetView>
  </sheetViews>
  <sheetFormatPr defaultRowHeight="14.5" x14ac:dyDescent="0.35"/>
  <cols>
    <col min="2" max="2" width="35.26953125" bestFit="1" customWidth="1"/>
    <col min="3" max="3" width="24" bestFit="1" customWidth="1"/>
    <col min="4" max="4" width="27.81640625" bestFit="1" customWidth="1"/>
    <col min="5" max="5" width="25.453125" bestFit="1" customWidth="1"/>
    <col min="6" max="6" width="18.54296875" bestFit="1" customWidth="1"/>
    <col min="7" max="7" width="29" bestFit="1" customWidth="1"/>
    <col min="8" max="8" width="26.453125" bestFit="1" customWidth="1"/>
    <col min="9" max="9" width="35.81640625" bestFit="1" customWidth="1"/>
    <col min="10" max="10" width="17.1796875" bestFit="1" customWidth="1"/>
    <col min="11" max="11" width="23.54296875" bestFit="1" customWidth="1"/>
    <col min="12" max="12" width="26.54296875" bestFit="1" customWidth="1"/>
    <col min="13" max="13" width="25.1796875" bestFit="1" customWidth="1"/>
    <col min="14" max="14" width="19.453125" bestFit="1" customWidth="1"/>
    <col min="15" max="15" width="15.26953125" bestFit="1" customWidth="1"/>
    <col min="16" max="16" width="26.453125" bestFit="1" customWidth="1"/>
    <col min="17" max="17" width="26.81640625" bestFit="1" customWidth="1"/>
    <col min="18" max="18" width="21.08984375" bestFit="1" customWidth="1"/>
    <col min="19" max="19" width="19.1796875" bestFit="1" customWidth="1"/>
    <col min="20" max="20" width="30.26953125" bestFit="1" customWidth="1"/>
    <col min="21" max="21" width="31.7265625" bestFit="1" customWidth="1"/>
    <col min="22" max="22" width="25.7265625" bestFit="1" customWidth="1"/>
    <col min="23" max="23" width="30.6328125" bestFit="1" customWidth="1"/>
    <col min="24" max="24" width="20.453125" bestFit="1" customWidth="1"/>
    <col min="25" max="25" width="25.7265625" bestFit="1" customWidth="1"/>
    <col min="26" max="26" width="16.90625" bestFit="1" customWidth="1"/>
    <col min="27" max="27" width="18.81640625" bestFit="1" customWidth="1"/>
    <col min="28" max="28" width="18.90625" bestFit="1" customWidth="1"/>
    <col min="29" max="29" width="36.81640625" bestFit="1" customWidth="1"/>
    <col min="30" max="30" width="15.54296875" bestFit="1" customWidth="1"/>
    <col min="31" max="31" width="18.54296875" bestFit="1" customWidth="1"/>
    <col min="32" max="32" width="22.453125" bestFit="1" customWidth="1"/>
    <col min="33" max="33" width="18.26953125" bestFit="1" customWidth="1"/>
    <col min="34" max="34" width="10.7265625" bestFit="1" customWidth="1"/>
  </cols>
  <sheetData>
    <row r="3" spans="2:7" x14ac:dyDescent="0.35">
      <c r="B3" s="6" t="s">
        <v>148</v>
      </c>
      <c r="C3" t="s">
        <v>149</v>
      </c>
      <c r="F3" s="13" t="s">
        <v>153</v>
      </c>
      <c r="G3" s="13"/>
    </row>
    <row r="4" spans="2:7" x14ac:dyDescent="0.35">
      <c r="B4" s="7" t="s">
        <v>4</v>
      </c>
      <c r="C4">
        <v>6</v>
      </c>
      <c r="D4" s="8">
        <f>GETPIVOTDATA("Assessment Area",$B$3,"Current State (23 Hospitals)","Adequate")/GETPIVOTDATA("Assessment Area",$B$3)</f>
        <v>0.19354838709677419</v>
      </c>
      <c r="F4" s="11" t="s">
        <v>150</v>
      </c>
      <c r="G4" s="12">
        <f>D4+D10</f>
        <v>0.61290322580645162</v>
      </c>
    </row>
    <row r="5" spans="2:7" x14ac:dyDescent="0.35">
      <c r="B5" s="7" t="s">
        <v>28</v>
      </c>
      <c r="C5">
        <v>1</v>
      </c>
      <c r="D5" s="8">
        <f>GETPIVOTDATA("Assessment Area",$B$3,"Current State (23 Hospitals)","Challenging")/GETPIVOTDATA("Assessment Area",$B$3)</f>
        <v>3.2258064516129031E-2</v>
      </c>
      <c r="F5" s="11" t="s">
        <v>151</v>
      </c>
      <c r="G5" s="12">
        <f>SUM(D5:D7)</f>
        <v>0.19354838709677419</v>
      </c>
    </row>
    <row r="6" spans="2:7" x14ac:dyDescent="0.35">
      <c r="B6" s="7" t="s">
        <v>37</v>
      </c>
      <c r="C6">
        <v>4</v>
      </c>
      <c r="D6" s="8">
        <f>GETPIVOTDATA("Assessment Area",$B$3,"Current State (23 Hospitals)","Critical Risk")/GETPIVOTDATA("Assessment Area",$B$3)</f>
        <v>0.12903225806451613</v>
      </c>
      <c r="F6" s="11" t="s">
        <v>152</v>
      </c>
      <c r="G6" s="12">
        <f>SUM(D8:D9)</f>
        <v>0.19354838709677419</v>
      </c>
    </row>
    <row r="7" spans="2:7" x14ac:dyDescent="0.35">
      <c r="B7" s="7" t="s">
        <v>32</v>
      </c>
      <c r="C7">
        <v>1</v>
      </c>
      <c r="D7" s="8">
        <f>GETPIVOTDATA("Assessment Area",$B$3,"Current State (23 Hospitals)","Moderate Risk")/GETPIVOTDATA("Assessment Area",$B$3)</f>
        <v>3.2258064516129031E-2</v>
      </c>
      <c r="G7" s="8">
        <f>SUM(G4:G6)</f>
        <v>1</v>
      </c>
    </row>
    <row r="8" spans="2:7" x14ac:dyDescent="0.35">
      <c r="B8" s="7" t="s">
        <v>21</v>
      </c>
      <c r="C8">
        <v>1</v>
      </c>
      <c r="D8" s="8">
        <f>GETPIVOTDATA("Assessment Area",$B$3,"Current State (23 Hospitals)","Monitor for Growth")/GETPIVOTDATA("Assessment Area",$B$3)</f>
        <v>3.2258064516129031E-2</v>
      </c>
    </row>
    <row r="9" spans="2:7" x14ac:dyDescent="0.35">
      <c r="B9" s="7" t="s">
        <v>22</v>
      </c>
      <c r="C9">
        <v>5</v>
      </c>
      <c r="D9" s="8">
        <f>GETPIVOTDATA("Assessment Area",$B$3,"Current State (23 Hospitals)","Potential Constraint")/GETPIVOTDATA("Assessment Area",$B$3)</f>
        <v>0.16129032258064516</v>
      </c>
    </row>
    <row r="10" spans="2:7" x14ac:dyDescent="0.35">
      <c r="B10" s="7" t="s">
        <v>11</v>
      </c>
      <c r="C10">
        <v>13</v>
      </c>
      <c r="D10" s="8">
        <f>GETPIVOTDATA("Assessment Area",$B$3,"Current State (23 Hospitals)","Strong")/GETPIVOTDATA("Assessment Area",$B$3)</f>
        <v>0.41935483870967744</v>
      </c>
    </row>
    <row r="11" spans="2:7" x14ac:dyDescent="0.35">
      <c r="B11" s="7" t="s">
        <v>147</v>
      </c>
      <c r="C11">
        <v>31</v>
      </c>
    </row>
    <row r="15" spans="2:7" x14ac:dyDescent="0.35">
      <c r="B15" s="6" t="s">
        <v>148</v>
      </c>
      <c r="C15" t="s">
        <v>149</v>
      </c>
      <c r="F15" s="13" t="s">
        <v>154</v>
      </c>
      <c r="G15" s="13"/>
    </row>
    <row r="16" spans="2:7" x14ac:dyDescent="0.35">
      <c r="B16" s="7" t="s">
        <v>8</v>
      </c>
      <c r="C16" s="10">
        <v>1</v>
      </c>
      <c r="D16" s="8">
        <f>GETPIVOTDATA("Assessment Area",$B$15,"Future State (35 Hospitals)","Adequate – Monitor Growth")/GETPIVOTDATA("Assessment Area",$B$15)</f>
        <v>3.2258064516129031E-2</v>
      </c>
      <c r="F16" s="11" t="s">
        <v>150</v>
      </c>
      <c r="G16" s="12">
        <f>SUM(D26+D16+D17)</f>
        <v>0.45161290322580638</v>
      </c>
    </row>
    <row r="17" spans="2:7" x14ac:dyDescent="0.35">
      <c r="B17" s="7" t="s">
        <v>5</v>
      </c>
      <c r="C17" s="10">
        <v>1</v>
      </c>
      <c r="D17" s="8">
        <f>GETPIVOTDATA("Assessment Area",$B$15,"Future State (35 Hospitals)","Adequate with Reduced Growth Capacity")/GETPIVOTDATA("Assessment Area",$B$15)</f>
        <v>3.2258064516129031E-2</v>
      </c>
      <c r="F17" s="11" t="s">
        <v>151</v>
      </c>
      <c r="G17" s="12">
        <f>SUM(D18:D21)+D25</f>
        <v>0.35483870967741926</v>
      </c>
    </row>
    <row r="18" spans="2:7" x14ac:dyDescent="0.35">
      <c r="B18" s="7" t="s">
        <v>70</v>
      </c>
      <c r="C18" s="10">
        <v>1</v>
      </c>
      <c r="D18" s="8">
        <f>GETPIVOTDATA("Assessment Area",$B$15,"Future State (35 Hospitals)","Critial Risk")/GETPIVOTDATA("Assessment Area",$B$15)</f>
        <v>3.2258064516129031E-2</v>
      </c>
      <c r="F18" s="11" t="s">
        <v>152</v>
      </c>
      <c r="G18" s="12">
        <f>SUM(D22:D24)</f>
        <v>0.19354838709677419</v>
      </c>
    </row>
    <row r="19" spans="2:7" x14ac:dyDescent="0.35">
      <c r="B19" s="7" t="s">
        <v>75</v>
      </c>
      <c r="C19" s="10">
        <v>1</v>
      </c>
      <c r="D19" s="8">
        <f>GETPIVOTDATA("Assessment Area",$B$15,"Future State (35 Hospitals)","Critical Gap")/GETPIVOTDATA("Assessment Area",$B$15)</f>
        <v>3.2258064516129031E-2</v>
      </c>
      <c r="G19" s="8">
        <f>SUM(G16:G18)</f>
        <v>0.99999999999999978</v>
      </c>
    </row>
    <row r="20" spans="2:7" x14ac:dyDescent="0.35">
      <c r="B20" s="7" t="s">
        <v>37</v>
      </c>
      <c r="C20" s="10">
        <v>7</v>
      </c>
      <c r="D20" s="8">
        <f>GETPIVOTDATA("Assessment Area",$B$15,"Future State (35 Hospitals)","Critical Risk")/GETPIVOTDATA("Assessment Area",$B$15)</f>
        <v>0.22580645161290322</v>
      </c>
    </row>
    <row r="21" spans="2:7" x14ac:dyDescent="0.35">
      <c r="B21" s="7" t="s">
        <v>33</v>
      </c>
      <c r="C21" s="10">
        <v>1</v>
      </c>
      <c r="D21" s="8">
        <f>GETPIVOTDATA("Assessment Area",$B$15,"Future State (35 Hospitals)","High Risk")/GETPIVOTDATA("Assessment Area",$B$15)</f>
        <v>3.2258064516129031E-2</v>
      </c>
    </row>
    <row r="22" spans="2:7" x14ac:dyDescent="0.35">
      <c r="B22" s="7" t="s">
        <v>14</v>
      </c>
      <c r="C22" s="10">
        <v>1</v>
      </c>
      <c r="D22" s="8">
        <f>GETPIVOTDATA("Assessment Area",$B$15,"Future State (35 Hospitals)","Increased Demand")/GETPIVOTDATA("Assessment Area",$B$15)</f>
        <v>3.2258064516129031E-2</v>
      </c>
    </row>
    <row r="23" spans="2:7" x14ac:dyDescent="0.35">
      <c r="B23" s="7" t="s">
        <v>25</v>
      </c>
      <c r="C23" s="10">
        <v>1</v>
      </c>
      <c r="D23" s="8">
        <f>GETPIVOTDATA("Assessment Area",$B$15,"Future State (35 Hospitals)","Limited")/GETPIVOTDATA("Assessment Area",$B$15)</f>
        <v>3.2258064516129031E-2</v>
      </c>
    </row>
    <row r="24" spans="2:7" x14ac:dyDescent="0.35">
      <c r="B24" s="7" t="s">
        <v>22</v>
      </c>
      <c r="C24" s="10">
        <v>4</v>
      </c>
      <c r="D24" s="8">
        <f>GETPIVOTDATA("Assessment Area",$B$15,"Future State (35 Hospitals)","Potential Constraint")/GETPIVOTDATA("Assessment Area",$B$15)</f>
        <v>0.12903225806451613</v>
      </c>
    </row>
    <row r="25" spans="2:7" x14ac:dyDescent="0.35">
      <c r="B25" s="7" t="s">
        <v>29</v>
      </c>
      <c r="C25" s="10">
        <v>1</v>
      </c>
      <c r="D25" s="8">
        <f>GETPIVOTDATA("Assessment Area",$B$15,"Future State (35 Hospitals)","Significant Risk")/GETPIVOTDATA("Assessment Area",$B$15)</f>
        <v>3.2258064516129031E-2</v>
      </c>
    </row>
    <row r="26" spans="2:7" x14ac:dyDescent="0.35">
      <c r="B26" s="7" t="s">
        <v>11</v>
      </c>
      <c r="C26" s="10">
        <v>12</v>
      </c>
      <c r="D26" s="8">
        <f>GETPIVOTDATA("Assessment Area",$B$15,"Future State (35 Hospitals)","Strong")/GETPIVOTDATA("Assessment Area",$B$15)</f>
        <v>0.38709677419354838</v>
      </c>
    </row>
    <row r="27" spans="2:7" x14ac:dyDescent="0.35">
      <c r="B27" s="7" t="s">
        <v>147</v>
      </c>
      <c r="C27" s="10">
        <v>31</v>
      </c>
    </row>
  </sheetData>
  <mergeCells count="2">
    <mergeCell ref="F3:G3"/>
    <mergeCell ref="F15:G15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66DC-EF03-425D-B5FD-BCBB056B7005}">
  <dimension ref="A1:H17"/>
  <sheetViews>
    <sheetView tabSelected="1" workbookViewId="0">
      <selection activeCell="C16" sqref="C16"/>
    </sheetView>
  </sheetViews>
  <sheetFormatPr defaultRowHeight="14.5" x14ac:dyDescent="0.35"/>
  <cols>
    <col min="1" max="1" width="24.453125" customWidth="1"/>
    <col min="2" max="5" width="50.54296875" customWidth="1"/>
    <col min="6" max="6" width="39.7265625" customWidth="1"/>
  </cols>
  <sheetData>
    <row r="1" spans="1:8" x14ac:dyDescent="0.35">
      <c r="A1" s="9" t="s">
        <v>128</v>
      </c>
      <c r="B1" s="9"/>
      <c r="C1" s="9"/>
      <c r="D1" s="9"/>
      <c r="E1" s="9"/>
      <c r="F1" s="9"/>
    </row>
    <row r="2" spans="1:8" x14ac:dyDescent="0.35">
      <c r="A2" s="1" t="s">
        <v>82</v>
      </c>
      <c r="B2" s="1" t="s">
        <v>83</v>
      </c>
      <c r="C2" s="1" t="s">
        <v>159</v>
      </c>
      <c r="D2" s="1" t="s">
        <v>120</v>
      </c>
      <c r="E2" s="1" t="s">
        <v>157</v>
      </c>
      <c r="F2" s="1" t="s">
        <v>158</v>
      </c>
    </row>
    <row r="3" spans="1:8" ht="45" customHeight="1" x14ac:dyDescent="0.35">
      <c r="A3" s="2" t="s">
        <v>84</v>
      </c>
      <c r="B3" s="2" t="s">
        <v>85</v>
      </c>
      <c r="C3" s="2" t="s">
        <v>86</v>
      </c>
      <c r="D3" s="2" t="s">
        <v>87</v>
      </c>
      <c r="E3" s="2"/>
      <c r="F3" s="2"/>
      <c r="H3" t="s">
        <v>163</v>
      </c>
    </row>
    <row r="4" spans="1:8" ht="43.5" x14ac:dyDescent="0.35">
      <c r="A4" s="2" t="s">
        <v>88</v>
      </c>
      <c r="B4" s="2" t="s">
        <v>89</v>
      </c>
      <c r="C4" s="2" t="s">
        <v>129</v>
      </c>
      <c r="D4" s="2" t="s">
        <v>90</v>
      </c>
      <c r="E4" s="2"/>
      <c r="F4" s="2"/>
      <c r="H4" t="s">
        <v>164</v>
      </c>
    </row>
    <row r="5" spans="1:8" ht="43.5" customHeight="1" x14ac:dyDescent="0.35">
      <c r="A5" s="2" t="s">
        <v>91</v>
      </c>
      <c r="B5" s="2" t="s">
        <v>92</v>
      </c>
      <c r="C5" s="2" t="s">
        <v>93</v>
      </c>
      <c r="D5" s="2" t="s">
        <v>94</v>
      </c>
      <c r="E5" s="2"/>
      <c r="F5" s="2"/>
      <c r="H5" t="s">
        <v>165</v>
      </c>
    </row>
    <row r="6" spans="1:8" ht="46.5" customHeight="1" x14ac:dyDescent="0.35">
      <c r="A6" s="2" t="s">
        <v>95</v>
      </c>
      <c r="B6" s="2" t="s">
        <v>96</v>
      </c>
      <c r="C6" s="2" t="s">
        <v>97</v>
      </c>
      <c r="D6" s="2" t="s">
        <v>98</v>
      </c>
      <c r="E6" s="2"/>
      <c r="F6" s="2"/>
    </row>
    <row r="7" spans="1:8" ht="67" customHeight="1" x14ac:dyDescent="0.35">
      <c r="A7" s="2" t="s">
        <v>99</v>
      </c>
      <c r="B7" s="2" t="s">
        <v>126</v>
      </c>
      <c r="C7" s="2" t="s">
        <v>125</v>
      </c>
      <c r="D7" s="2" t="s">
        <v>100</v>
      </c>
      <c r="E7" s="2"/>
      <c r="F7" s="2"/>
    </row>
    <row r="8" spans="1:8" ht="56" customHeight="1" x14ac:dyDescent="0.35">
      <c r="A8" s="2" t="s">
        <v>101</v>
      </c>
      <c r="B8" s="2" t="s">
        <v>136</v>
      </c>
      <c r="C8" s="2" t="s">
        <v>137</v>
      </c>
      <c r="D8" s="2" t="s">
        <v>102</v>
      </c>
      <c r="E8" s="2"/>
      <c r="F8" s="2"/>
    </row>
    <row r="9" spans="1:8" ht="43.5" customHeight="1" x14ac:dyDescent="0.35">
      <c r="A9" s="2" t="s">
        <v>103</v>
      </c>
      <c r="B9" s="2" t="s">
        <v>104</v>
      </c>
      <c r="C9" s="2" t="s">
        <v>105</v>
      </c>
      <c r="D9" s="2" t="s">
        <v>106</v>
      </c>
      <c r="E9" s="2"/>
      <c r="F9" s="2"/>
    </row>
    <row r="10" spans="1:8" ht="46.5" customHeight="1" x14ac:dyDescent="0.35">
      <c r="A10" s="2" t="s">
        <v>74</v>
      </c>
      <c r="B10" s="2" t="s">
        <v>107</v>
      </c>
      <c r="C10" s="2" t="s">
        <v>108</v>
      </c>
      <c r="D10" s="2" t="s">
        <v>109</v>
      </c>
      <c r="E10" s="2"/>
      <c r="F10" s="2"/>
    </row>
    <row r="11" spans="1:8" ht="42" customHeight="1" x14ac:dyDescent="0.35">
      <c r="A11" s="2" t="s">
        <v>110</v>
      </c>
      <c r="B11" s="2" t="s">
        <v>111</v>
      </c>
      <c r="C11" s="2" t="s">
        <v>112</v>
      </c>
      <c r="D11" s="2" t="s">
        <v>113</v>
      </c>
      <c r="E11" s="2"/>
      <c r="F11" s="2"/>
    </row>
    <row r="12" spans="1:8" ht="38" customHeight="1" x14ac:dyDescent="0.35">
      <c r="A12" s="2" t="s">
        <v>114</v>
      </c>
      <c r="B12" s="2" t="s">
        <v>115</v>
      </c>
      <c r="C12" s="2" t="s">
        <v>116</v>
      </c>
      <c r="D12" s="2" t="s">
        <v>117</v>
      </c>
      <c r="E12" s="2"/>
      <c r="F12" s="2"/>
    </row>
    <row r="14" spans="1:8" x14ac:dyDescent="0.35">
      <c r="A14" s="9" t="s">
        <v>127</v>
      </c>
      <c r="B14" s="9"/>
      <c r="C14" s="9"/>
      <c r="D14" s="9"/>
      <c r="E14" s="9"/>
      <c r="F14" s="9"/>
    </row>
    <row r="15" spans="1:8" x14ac:dyDescent="0.35">
      <c r="A15" s="1" t="s">
        <v>118</v>
      </c>
      <c r="B15" s="1" t="s">
        <v>119</v>
      </c>
      <c r="C15" s="1" t="s">
        <v>120</v>
      </c>
      <c r="D15" s="1" t="s">
        <v>121</v>
      </c>
      <c r="E15" s="1" t="s">
        <v>157</v>
      </c>
      <c r="F15" s="1" t="s">
        <v>158</v>
      </c>
    </row>
    <row r="16" spans="1:8" ht="174" x14ac:dyDescent="0.35">
      <c r="A16" s="3" t="s">
        <v>122</v>
      </c>
      <c r="B16" s="2" t="s">
        <v>160</v>
      </c>
      <c r="C16" s="2" t="s">
        <v>134</v>
      </c>
      <c r="D16" s="2" t="s">
        <v>155</v>
      </c>
      <c r="E16" s="2" t="s">
        <v>161</v>
      </c>
      <c r="F16" s="2" t="s">
        <v>162</v>
      </c>
    </row>
    <row r="17" spans="1:6" ht="133" customHeight="1" x14ac:dyDescent="0.35">
      <c r="A17" s="3" t="s">
        <v>123</v>
      </c>
      <c r="B17" s="2" t="s">
        <v>124</v>
      </c>
      <c r="C17" s="2" t="s">
        <v>135</v>
      </c>
      <c r="D17" s="2" t="s">
        <v>156</v>
      </c>
      <c r="E17" s="2"/>
      <c r="F17" s="2"/>
    </row>
  </sheetData>
  <mergeCells count="2">
    <mergeCell ref="A14:F14"/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489939E7E037408DE008F26375ABCA" ma:contentTypeVersion="3" ma:contentTypeDescription="Create a new document." ma:contentTypeScope="" ma:versionID="705c6205d6e4ef44d3b63cb948bce888">
  <xsd:schema xmlns:xsd="http://www.w3.org/2001/XMLSchema" xmlns:xs="http://www.w3.org/2001/XMLSchema" xmlns:p="http://schemas.microsoft.com/office/2006/metadata/properties" xmlns:ns2="c7ffb855-6626-4e76-ba7b-8f62c0871a8d" targetNamespace="http://schemas.microsoft.com/office/2006/metadata/properties" ma:root="true" ma:fieldsID="7b1da2333e65c8c6730dc493dfbdd452" ns2:_="">
    <xsd:import namespace="c7ffb855-6626-4e76-ba7b-8f62c0871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fb855-6626-4e76-ba7b-8f62c0871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F548F-CCCE-4E66-9424-844B0D3AC0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08AA0-BBF0-4EBF-8B44-9A4F953B5221}">
  <ds:schemaRefs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c7ffb855-6626-4e76-ba7b-8f62c0871a8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3DA2DFA-319A-4D13-A83D-CDD9F4B32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ffb855-6626-4e76-ba7b-8f62c0871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Infra Assessment-Overview</vt:lpstr>
      <vt:lpstr>% Distribution of Assessment </vt:lpstr>
      <vt:lpstr>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Mohammed, Omer Zubair</dc:creator>
  <cp:lastModifiedBy>Mohammed, Omer Zubair</cp:lastModifiedBy>
  <dcterms:created xsi:type="dcterms:W3CDTF">2026-06-24T04:20:57Z</dcterms:created>
  <dcterms:modified xsi:type="dcterms:W3CDTF">2026-06-25T03:37:05Z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0x01010009489939E7E037408DE008F26375ABCA</vt:lpwstr>
  </property>
</Properties>
</file>