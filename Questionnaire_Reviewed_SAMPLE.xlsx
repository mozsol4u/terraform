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Questionnaire" sheetId="2" state="visible" r:id="rId4"/>
    <sheet name="Protection Inventory" sheetId="3" state="visible" r:id="rId5"/>
    <sheet name="Vault Configuration" sheetId="4" state="visible" r:id="rId6"/>
    <sheet name="Database Protection Detail" sheetId="5" state="visible" r:id="rId7"/>
    <sheet name="Review Log" sheetId="6" state="visible" r:id="rId8"/>
  </sheets>
  <definedNames>
    <definedName function="false" hidden="true" localSheetId="1" name="_xlnm._FilterDatabase" vbProcedure="false">Questionnaire!$A$1:$K$50</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K1" authorId="0">
      <text>
        <r>
          <rPr>
            <sz val="10"/>
            <rFont val="Arial"/>
            <family val="2"/>
          </rPr>
          <t xml:space="preserve">Carried over from the original sheet. Please confirm these options against the current Azure portal before use.</t>
        </r>
      </text>
    </comment>
  </commentList>
</comments>
</file>

<file path=xl/sharedStrings.xml><?xml version="1.0" encoding="utf-8"?>
<sst xmlns="http://schemas.openxmlformats.org/spreadsheetml/2006/main" count="1320" uniqueCount="666">
  <si>
    <t xml:space="preserve">SAMPLE – ILLUSTRATIVE DATA ONLY</t>
  </si>
  <si>
    <t xml:space="preserve">This workbook shows how the reviewed questionnaire and inventory might look once completed. 'Fabrikam Ltd' is a fictitious organisation; all names, figures, dates and findings are invented to illustrate the expected level of detail and must not be used as real assessment data.</t>
  </si>
  <si>
    <t xml:space="preserve">How to read it</t>
  </si>
  <si>
    <t xml:space="preserve">Questionnaire – Q1–Q36 and Q44–Q49 are pre-implementation (current state and requirements); Q37–Q43 show post-implementation validation part-way through, so some items are still Open.</t>
  </si>
  <si>
    <t xml:space="preserve">Client Response = what the client says. Current Configuration = what is observed or evidenced. Gap / Risk Rating and Follow-up turn each answer into a tracked finding.</t>
  </si>
  <si>
    <t xml:space="preserve">Protection Inventory – one row per workload category; % Protected and # Unprotected (gap) are calculated. Vault settings sit on the Vault Configuration tab.</t>
  </si>
  <si>
    <t xml:space="preserve">Database Protection Detail – one row per database, showing the Oracle-specific detail the category view cannot hold.</t>
  </si>
  <si>
    <t xml:space="preserve">Outputs are drafts and require independent professional review before use.</t>
  </si>
  <si>
    <t xml:space="preserve">Question ID</t>
  </si>
  <si>
    <t xml:space="preserve">Phase</t>
  </si>
  <si>
    <t xml:space="preserve">Assessment Area</t>
  </si>
  <si>
    <t xml:space="preserve">Question</t>
  </si>
  <si>
    <t xml:space="preserve">Client Response</t>
  </si>
  <si>
    <t xml:space="preserve">Current Configuration / Technical Details</t>
  </si>
  <si>
    <t xml:space="preserve">Evidence Requested</t>
  </si>
  <si>
    <t xml:space="preserve">Respondent (Role)</t>
  </si>
  <si>
    <t xml:space="preserve">Gap / Risk Rating</t>
  </si>
  <si>
    <t xml:space="preserve">Follow-up Action &amp; Owner</t>
  </si>
  <si>
    <t xml:space="preserve">Status</t>
  </si>
  <si>
    <t xml:space="preserve">Pre-implementation</t>
  </si>
  <si>
    <t xml:space="preserve">Scope</t>
  </si>
  <si>
    <t xml:space="preserve">Which Azure subscriptions and environments should we include in this review?</t>
  </si>
  <si>
    <t xml:space="preserve">Three subscriptions are in scope: Production, Non-Production and Shared Services. Sandbox subscriptions are out of scope.</t>
  </si>
  <si>
    <t xml:space="preserve">All under the 'Fabrikam-LZ' management group. Primary region UK South, secondary UK West.</t>
  </si>
  <si>
    <t xml:space="preserve">List of subscriptions / management groups and environment tags</t>
  </si>
  <si>
    <t xml:space="preserve">Head of Cloud Platform</t>
  </si>
  <si>
    <t xml:space="preserve">No gap</t>
  </si>
  <si>
    <t xml:space="preserve">Client to confirm sandbox exclusion in writing.</t>
  </si>
  <si>
    <t xml:space="preserve">Answered</t>
  </si>
  <si>
    <t xml:space="preserve">Workloads</t>
  </si>
  <si>
    <t xml:space="preserve">What types of systems or services are running in those subscriptions?</t>
  </si>
  <si>
    <t xml:space="preserve">Around 250 resources: Windows and Linux VMs, Azure SQL, Oracle on VMs and on Oracle Database@Azure, AKS, App Service and storage.</t>
  </si>
  <si>
    <t xml:space="preserve">Resource Graph export (14 Sep 2026): 64 Windows VMs, 48 Linux VMs, 22 Azure SQL DBs, 6 Oracle DBs, 3 AKS clusters.</t>
  </si>
  <si>
    <t xml:space="preserve">Resource inventory export (e.g. Azure Resource Graph)</t>
  </si>
  <si>
    <t xml:space="preserve">Infrastructure Architect</t>
  </si>
  <si>
    <t xml:space="preserve">Business Importance</t>
  </si>
  <si>
    <t xml:space="preserve">Which applications or workloads are most important to the business?</t>
  </si>
  <si>
    <t xml:space="preserve">ERP (Oracle), Billing (Oracle) and the Customer Portal (App Service + Azure SQL) are Tier 1.</t>
  </si>
  <si>
    <t xml:space="preserve">Criticality held in CMDB; only ~60% of resources carry a criticality tag.</t>
  </si>
  <si>
    <t xml:space="preserve">Application criticality / tiering register</t>
  </si>
  <si>
    <t xml:space="preserve">Service Management Lead</t>
  </si>
  <si>
    <t xml:space="preserve">Medium</t>
  </si>
  <si>
    <t xml:space="preserve">Complete criticality tags for remaining resources – CMDB owner – 30 Oct 2026.</t>
  </si>
  <si>
    <t xml:space="preserve">Follow-up required</t>
  </si>
  <si>
    <t xml:space="preserve">Ownership</t>
  </si>
  <si>
    <t xml:space="preserve">Who owns backup for Azure workloads today, and who is accountable for coverage?</t>
  </si>
  <si>
    <t xml:space="preserve">Cloud Platform team owns Azure Backup; DBA team owns Oracle backups. Nobody is accountable for overall coverage.</t>
  </si>
  <si>
    <t xml:space="preserve">No documented RACI.</t>
  </si>
  <si>
    <t xml:space="preserve">RACI or operating model document</t>
  </si>
  <si>
    <t xml:space="preserve">High</t>
  </si>
  <si>
    <t xml:space="preserve">Agree single accountable owner and publish RACI – Head of IT Operations – 15 Nov 2026.</t>
  </si>
  <si>
    <t xml:space="preserve">Backup Services</t>
  </si>
  <si>
    <t xml:space="preserve">Which backup and recovery tools are in use today for Azure workloads in addition to Azure Backup (e.g. third-party, database-native, or scripted tools)?</t>
  </si>
  <si>
    <t xml:space="preserve">Oracle RMAN (DBA scripts), OCI-managed backups for Oracle Database@Azure, and MABS for on-premises servers.</t>
  </si>
  <si>
    <t xml:space="preserve">RMAN 19c writing to Azure Blob over NFS 3.0; one MABS server.</t>
  </si>
  <si>
    <t xml:space="preserve">Tool list with versions and licensing scope</t>
  </si>
  <si>
    <t xml:space="preserve">Backup Lead</t>
  </si>
  <si>
    <t xml:space="preserve">Low</t>
  </si>
  <si>
    <t xml:space="preserve">Backup Organisation</t>
  </si>
  <si>
    <t xml:space="preserve">Are backups managed centrally, or does each application/team manage its own?</t>
  </si>
  <si>
    <t xml:space="preserve">Central for VMs, Files and Blobs. Databases and PaaS services are configured by application teams.</t>
  </si>
  <si>
    <t xml:space="preserve">PaaS native backup settings set at deployment time via Bicep templates owned by each team.</t>
  </si>
  <si>
    <t xml:space="preserve">Operating model; vault ownership list</t>
  </si>
  <si>
    <t xml:space="preserve">Assess enforcing PaaS backup settings through Azure Policy.</t>
  </si>
  <si>
    <t xml:space="preserve">Current Coverage</t>
  </si>
  <si>
    <t xml:space="preserve">Do we have a list showing which workloads are protected by backup today?</t>
  </si>
  <si>
    <t xml:space="preserve">Yes for vault-protected items; no consolidated view that includes PaaS and Oracle.</t>
  </si>
  <si>
    <t xml:space="preserve">Business Continuity Center report plus a manually maintained Oracle spreadsheet.</t>
  </si>
  <si>
    <t xml:space="preserve">Business Continuity Center / Backup Center protected-items report</t>
  </si>
  <si>
    <t xml:space="preserve">Use Protection Inventory sheet as the consolidated view.</t>
  </si>
  <si>
    <t xml:space="preserve">Unprotected Items &amp; Exceptions</t>
  </si>
  <si>
    <t xml:space="preserve">Is there a known list of unprotected or exempted workloads, and who approved the exemptions?</t>
  </si>
  <si>
    <t xml:space="preserve">An exemption register exists with 28 items; approvals are by email.</t>
  </si>
  <si>
    <t xml:space="preserve">Register last reviewed January 2026.</t>
  </si>
  <si>
    <t xml:space="preserve">Exemption register with approvals</t>
  </si>
  <si>
    <t xml:space="preserve">Introduce six-monthly exemption review with recorded approver.</t>
  </si>
  <si>
    <t xml:space="preserve">Partially Protected &amp; Exceptions</t>
  </si>
  <si>
    <t xml:space="preserve">Which workloads are only partially protected, and what is the reason for each exception?</t>
  </si>
  <si>
    <t xml:space="preserve">Oracle VMs: OS protected by Azure Backup, database by RMAN. Cosmos DB uses periodic backup with 8-hour retention.</t>
  </si>
  <si>
    <t xml:space="preserve">See Protection Inventory rows for Oracle and Cosmos DB.</t>
  </si>
  <si>
    <t xml:space="preserve">List of partially protected items with rationale</t>
  </si>
  <si>
    <t xml:space="preserve">Lead Oracle DBA</t>
  </si>
  <si>
    <t xml:space="preserve">Evaluate Cosmos DB continuous backup mode.</t>
  </si>
  <si>
    <t xml:space="preserve">Backup Settings &amp; Exceptions</t>
  </si>
  <si>
    <t xml:space="preserve">Do any workloads have different backup settings or special exceptions?</t>
  </si>
  <si>
    <t xml:space="preserve">ERP VMs use a 4-hourly Enhanced policy; non-production uses reduced 14-day retention.</t>
  </si>
  <si>
    <t xml:space="preserve">6 policies in production vault; 2 are non-standard.</t>
  </si>
  <si>
    <t xml:space="preserve">Backup policy export; list of non-standard policies</t>
  </si>
  <si>
    <t xml:space="preserve">Workload Eligibility</t>
  </si>
  <si>
    <t xml:space="preserve">Are any in-scope workload types, configurations, or versions unsupported by the current protection method or subject to limitations?</t>
  </si>
  <si>
    <t xml:space="preserve">Two analytics VMs use Ultra Disk; client unsure if fully supported by current policy.</t>
  </si>
  <si>
    <t xml:space="preserve">Ultra Disk on 2 Linux VMs; Standard policy applied.</t>
  </si>
  <si>
    <t xml:space="preserve">Support-matrix check against current workloads</t>
  </si>
  <si>
    <t xml:space="preserve">Validate against current Azure Backup support matrix.</t>
  </si>
  <si>
    <t xml:space="preserve">Onboarding of New Resources</t>
  </si>
  <si>
    <t xml:space="preserve">When a new workload or Azure resource is deployed, how is it identified and enrolled into the required backup protection?</t>
  </si>
  <si>
    <t xml:space="preserve">An Azure Policy auto-enables VM backup in Production when tag Backup=Yes. Other resource types are onboarded manually.</t>
  </si>
  <si>
    <t xml:space="preserve">DeployIfNotExists assignment on Production subscription only.</t>
  </si>
  <si>
    <t xml:space="preserve">Onboarding procedure; Azure Policy assignments for backup</t>
  </si>
  <si>
    <t xml:space="preserve">Extend policy to Non-Production and to disks and blobs.</t>
  </si>
  <si>
    <t xml:space="preserve">On-Premises Servers</t>
  </si>
  <si>
    <t xml:space="preserve">Are any on-premises servers being backed up by Azure Backup?</t>
  </si>
  <si>
    <t xml:space="preserve">Yes – 14 file and application servers back up via MABS to a dedicated vault.</t>
  </si>
  <si>
    <t xml:space="preserve">MABS v4 → rsv-fab-onprem-uks-01. The MABS server itself is not backed up.</t>
  </si>
  <si>
    <t xml:space="preserve">MARS / MABS / DPM server list</t>
  </si>
  <si>
    <t xml:space="preserve">Infrastructure Operations Lead</t>
  </si>
  <si>
    <t xml:space="preserve">Protect or document rebuild of MABS server.</t>
  </si>
  <si>
    <t xml:space="preserve">Backup Schedules</t>
  </si>
  <si>
    <t xml:space="preserve">How often are backups scheduled for the main workload types?</t>
  </si>
  <si>
    <t xml:space="preserve">VMs daily (Tier 1 every 4 hours), SQL logs every 15 minutes, Oracle archive logs every 30 minutes.</t>
  </si>
  <si>
    <t xml:space="preserve">From policy export 14 Sep 2026.</t>
  </si>
  <si>
    <t xml:space="preserve">Backup policy export</t>
  </si>
  <si>
    <t xml:space="preserve">Oracle ERP archive log frequency does not meet 15-minute RPO – see Q32.</t>
  </si>
  <si>
    <t xml:space="preserve">Backup Retention</t>
  </si>
  <si>
    <t xml:space="preserve">How long are backups kept today?</t>
  </si>
  <si>
    <t xml:space="preserve">30 days operational; Tier 1 monthly for 12 months; finance systems yearly for 7 years.</t>
  </si>
  <si>
    <t xml:space="preserve">Yearly points held in archive tier.</t>
  </si>
  <si>
    <t xml:space="preserve">Backup policy export; retention standard</t>
  </si>
  <si>
    <t xml:space="preserve">Backup Failures</t>
  </si>
  <si>
    <t xml:space="preserve">What usually happens when a backup fails?</t>
  </si>
  <si>
    <t xml:space="preserve">Email alerts to a shared mailbox reviewed by on-call; no automatic ticket.</t>
  </si>
  <si>
    <t xml:space="preserve">Azure Monitor alert rules with email action group only.</t>
  </si>
  <si>
    <t xml:space="preserve">Incident / ticket samples; alert configuration</t>
  </si>
  <si>
    <t xml:space="preserve">Route alerts to ITSM via action group webhook.</t>
  </si>
  <si>
    <t xml:space="preserve">Change &amp; Decommission Lifecycle</t>
  </si>
  <si>
    <t xml:space="preserve">How are backup policies and data handled when workloads are moved, reconfigured, transferred between owners, or decommissioned?</t>
  </si>
  <si>
    <t xml:space="preserve">Backups of decommissioned VMs follow policy retention; no process for owner changes.</t>
  </si>
  <si>
    <t xml:space="preserve">No decommission checklist step for backup data.</t>
  </si>
  <si>
    <t xml:space="preserve">Change and decommission procedure</t>
  </si>
  <si>
    <t xml:space="preserve">Add backup step to decommission and transfer checklist.</t>
  </si>
  <si>
    <t xml:space="preserve">Operations &amp; Restore Confidence</t>
  </si>
  <si>
    <t xml:space="preserve">When were restores last tested, and what were the results?</t>
  </si>
  <si>
    <t xml:space="preserve">Ad-hoc only. Last VM restore June 2026 (passed); SQL PITR April 2026 (passed). No Oracle PITR tests.</t>
  </si>
  <si>
    <t xml:space="preserve">No scheduled restore testing programme.</t>
  </si>
  <si>
    <t xml:space="preserve">Most recent restore test reports</t>
  </si>
  <si>
    <t xml:space="preserve">Establish quarterly restore test schedule by tier.</t>
  </si>
  <si>
    <t xml:space="preserve">Planned Changes</t>
  </si>
  <si>
    <t xml:space="preserve">What changes are planned over the next 6-12 months that could affect backup scope?</t>
  </si>
  <si>
    <t xml:space="preserve">Billing database moving from Azure VM to Oracle Database@Azure in Q1 2027; AKS footprint growing.</t>
  </si>
  <si>
    <t xml:space="preserve">Roadmap / project list</t>
  </si>
  <si>
    <t xml:space="preserve">Not assessed</t>
  </si>
  <si>
    <t xml:space="preserve">Re-assess Oracle scope after migration.</t>
  </si>
  <si>
    <t xml:space="preserve">Known Pain Points</t>
  </si>
  <si>
    <t xml:space="preserve">What are the top three pain points, limitations, workarounds, or lessons learned with the current Azure-native backup environment?</t>
  </si>
  <si>
    <t xml:space="preserve">1) No single coverage view. 2) Oracle backups outside Azure Backup visibility. 3) Alert noise.</t>
  </si>
  <si>
    <t xml:space="preserve">Interview notes</t>
  </si>
  <si>
    <t xml:space="preserve">Oracle – Discovery</t>
  </si>
  <si>
    <t xml:space="preserve">How many Oracle databases are in scope, and where is each hosted (Oracle on Azure VMs, Oracle Database@Azure, on-premises, or another cloud)?</t>
  </si>
  <si>
    <t xml:space="preserve">Six Oracle databases: ERP prod/test and Billing prod/test on Azure VMs; Data Warehouse prod/test on Oracle Database@Azure.</t>
  </si>
  <si>
    <t xml:space="preserve">All in UK South. See Database Protection Detail tab.</t>
  </si>
  <si>
    <t xml:space="preserve">Oracle database inventory (identifier, host/service, environment)</t>
  </si>
  <si>
    <t xml:space="preserve">Which Oracle versions, editions (Enterprise / Standard Edition 2) and patch levels are in use, and are any approaching end of support?</t>
  </si>
  <si>
    <t xml:space="preserve">All 19c Enterprise Edition, patched quarterly. No older versions remain.</t>
  </si>
  <si>
    <t xml:space="preserve">Release Update level varies by database (see Database Protection Detail).</t>
  </si>
  <si>
    <t xml:space="preserve">Version, edition and patch level per database</t>
  </si>
  <si>
    <t xml:space="preserve">Confirm support dates against Oracle's current lifetime support policy.</t>
  </si>
  <si>
    <t xml:space="preserve">What is the architecture of each database (single instance, RAC, multitenant CDB/PDB, Data Guard / Active Data Guard, GoldenGate replication)?</t>
  </si>
  <si>
    <t xml:space="preserve">ERP: single-instance CDB with 2 PDBs and a Data Guard physical standby in UK West. Billing: non-CDB single instance. DWH: 2-node RAC on Exadata.</t>
  </si>
  <si>
    <t xml:space="preserve">Data Guard in Maximum Performance mode.</t>
  </si>
  <si>
    <t xml:space="preserve">Architecture diagram; Data Guard configuration</t>
  </si>
  <si>
    <t xml:space="preserve">What is the size of each database, its typical daily change rate and archive log generation, and the expected growth over the next 12–24 months?</t>
  </si>
  <si>
    <t xml:space="preserve">ERP 3.2 TB (~120 GB archive logs/day), Billing 900 GB (~40 GB/day), DWH 8 TB (~300 GB/day). Growth about 20% per year.</t>
  </si>
  <si>
    <t xml:space="preserve">Figures from AWR and recovery area usage.</t>
  </si>
  <si>
    <t xml:space="preserve">Database size and archive log volume trend (e.g. AWR / capacity reports)</t>
  </si>
  <si>
    <t xml:space="preserve">What OS and storage layout do the database hosts use (Linux distribution, ASM or file system, Azure disk types, Azure NetApp Files), and is any data held outside the database that must be recovered with it (external tables, BFILEs, application file shares)?</t>
  </si>
  <si>
    <t xml:space="preserve">Oracle Linux 8, ASM on Premium SSD v2. ERP interface files sit on an Azure Files share.</t>
  </si>
  <si>
    <t xml:space="preserve">Interface files must be recoverable alongside the ERP database.</t>
  </si>
  <si>
    <t xml:space="preserve">Host build sheet; storage layout</t>
  </si>
  <si>
    <t xml:space="preserve">Confirm consistency requirement with ERP service owner.</t>
  </si>
  <si>
    <t xml:space="preserve">Which applications depend on each database, what is its business criticality tier, and must any databases be recovered to the same point in time as each other or as other systems?</t>
  </si>
  <si>
    <t xml:space="preserve">ERP feeds Billing and DWH nightly. ERP and Billing must recover to the same point for month-end reconciliation.</t>
  </si>
  <si>
    <t xml:space="preserve">No coordinated recovery procedure exists.</t>
  </si>
  <si>
    <t xml:space="preserve">Application dependency map; criticality register</t>
  </si>
  <si>
    <t xml:space="preserve">Service Owner – ERP</t>
  </si>
  <si>
    <t xml:space="preserve">Design coordinated PITR procedure for ERP and Billing.</t>
  </si>
  <si>
    <t xml:space="preserve">Who is responsible for Oracle backup and restore (DBA team, infrastructure team, managed service provider), and for Oracle Database@Azure, which backup responsibilities sit with Oracle/OCI versus the client?</t>
  </si>
  <si>
    <t xml:space="preserve">DBA team owns VM-hosted databases. For Database@Azure, the team believes Oracle manages backups but this is unconfirmed.</t>
  </si>
  <si>
    <t xml:space="preserve">No shared-responsibility document on file.</t>
  </si>
  <si>
    <t xml:space="preserve">RACI; shared-responsibility matrix</t>
  </si>
  <si>
    <t xml:space="preserve">Obtain written responsibility split from Oracle / OCI account team.</t>
  </si>
  <si>
    <t xml:space="preserve">Awaiting client</t>
  </si>
  <si>
    <t xml:space="preserve">Oracle – Configuration</t>
  </si>
  <si>
    <t xml:space="preserve">What backup method is used for each database today (RMAN, Azure Backup with Oracle application-consistent snapshots, storage snapshots, third-party tool, Data Pump exports), and where are backups written (local disk, Azure Blob, Azure Files, Azure NetApp Files, media manager)?</t>
  </si>
  <si>
    <t xml:space="preserve">RMAN to Azure Blob (NFS 3.0) for VM databases; Azure Backup snapshots for OS disks only; OCI-managed backups for Database@Azure.</t>
  </si>
  <si>
    <t xml:space="preserve">RMAN target storage account stfaborabkpuks01 is locally redundant (single region).</t>
  </si>
  <si>
    <t xml:space="preserve">Backup tool configuration; RMAN scripts and schedules</t>
  </si>
  <si>
    <t xml:space="preserve">Move RMAN target to geo-redundant storage or replicate to UK West.</t>
  </si>
  <si>
    <t xml:space="preserve">How is RMAN configured: ARCHIVELOG mode, full / incremental level 0 and 1 schedule, archive log backup frequency and deletion policy, block change tracking, control file and SPFILE autobackup, compression, retention policy, and recovery catalog or control file repository?</t>
  </si>
  <si>
    <t xml:space="preserve">ARCHIVELOG on all prod (Billing test is NOARCHIVELOG). Level 0 Sunday, level 1 daily, archive logs every 30 min, deleted after 2 backups. BCT on prod only. Control file autobackup on. 14-day recovery window. No recovery catalog.</t>
  </si>
  <si>
    <t xml:space="preserve">Output of RMAN SHOW ALL supplied for ERP prod.</t>
  </si>
  <si>
    <t xml:space="preserve">Output of RMAN SHOW ALL; backup scripts; FRA sizing</t>
  </si>
  <si>
    <t xml:space="preserve">Consider recovery catalog; align recovery window to 30-day standard.</t>
  </si>
  <si>
    <t xml:space="preserve">Is Transparent Data Encryption or RMAN backup encryption in use? Where is the keystore (wallet) held, how is it backed up separately from the database backups, and who can access it?</t>
  </si>
  <si>
    <t xml:space="preserve">TDE on ERP prod tablespaces. The wallet is stored on the database server and is only captured by the VM backup.</t>
  </si>
  <si>
    <t xml:space="preserve">Loss of the VM would also lose the wallet needed to read the backups.</t>
  </si>
  <si>
    <t xml:space="preserve">Encryption configuration; keystore backup procedure</t>
  </si>
  <si>
    <t xml:space="preserve">Security Architect</t>
  </si>
  <si>
    <t xml:space="preserve">Back up keystore to a separate secured location after every rekey.</t>
  </si>
  <si>
    <t xml:space="preserve">How are Oracle backups protected from deletion or tampering (immutable storage, soft delete, separate credentials or subscription, restricted DBA access to the backup target)?</t>
  </si>
  <si>
    <t xml:space="preserve">Storage account has 7-day soft delete, no immutability, and DBAs hold Storage Account Contributor.</t>
  </si>
  <si>
    <t xml:space="preserve">Any DBA account could delete all RMAN backups.</t>
  </si>
  <si>
    <t xml:space="preserve">Storage immutability / soft delete settings; access list</t>
  </si>
  <si>
    <t xml:space="preserve">Enable immutability policy on RMAN container; restrict delete rights.</t>
  </si>
  <si>
    <t xml:space="preserve">Oracle – Backup &amp; Recovery Requirements</t>
  </si>
  <si>
    <t xml:space="preserve">What RPO, RTO and point-in-time recovery window are required for each database or tier, and have these been formally agreed with the business owners?</t>
  </si>
  <si>
    <t xml:space="preserve">ERP: RPO 15 min / RTO 4 h. Billing: RPO 1 h / RTO 8 h. DWH: RPO 24 h / RTO 24 h. Agreed in 2025 business impact analysis.</t>
  </si>
  <si>
    <t xml:space="preserve">ERP achieved RPO is 30 min given current archive log schedule.</t>
  </si>
  <si>
    <t xml:space="preserve">Signed-off RPO/RTO register</t>
  </si>
  <si>
    <t xml:space="preserve">Increase ERP archive log backup frequency to every 10 min.</t>
  </si>
  <si>
    <t xml:space="preserve">What retention is required (operational, monthly / yearly long-term, regulatory or legal hold), and are there data residency constraints on where backup copies may be stored?</t>
  </si>
  <si>
    <t xml:space="preserve">30 days operational; month-end ERP and Billing backups kept 7 years for finance audit. Data must stay in the UK.</t>
  </si>
  <si>
    <t xml:space="preserve">Current RMAN window 14 days; long-term copies kept only 12 months.</t>
  </si>
  <si>
    <t xml:space="preserve">Retention policy; regulatory requirements</t>
  </si>
  <si>
    <t xml:space="preserve">Compliance Officer</t>
  </si>
  <si>
    <t xml:space="preserve">Implement 7-year month-end retention in UK regions only.</t>
  </si>
  <si>
    <t xml:space="preserve">Which restore scenarios must be supported (full database, PDB, tablespace, table-level recovery, restore to an alternate host or region, non-production refresh / cloning)?</t>
  </si>
  <si>
    <t xml:space="preserve">Full database, PDB-level for ERP, table recovery for Billing, and monthly refresh of ERP test from prod.</t>
  </si>
  <si>
    <t xml:space="preserve">Restore scenario catalogue</t>
  </si>
  <si>
    <t xml:space="preserve">What disaster recovery is in place (Data Guard standby in another zone or region, cross-region backup copies), and is backup treated separately from replication given that replication can propagate corruption or deletion?</t>
  </si>
  <si>
    <t xml:space="preserve">ERP has Data Guard to UK West. Billing has no DR. Database@Azure DR not configured.</t>
  </si>
  <si>
    <t xml:space="preserve">DR design; DR test reports</t>
  </si>
  <si>
    <t xml:space="preserve">Define DR approach for Billing before its migration.</t>
  </si>
  <si>
    <t xml:space="preserve">What backup windows, performance limits and licensing considerations apply (e.g. Oracle option licensing for backup compression or encryption, licensing of standby or restore hosts)?</t>
  </si>
  <si>
    <t xml:space="preserve">Backup window 22:00–05:00. Client licenses Advanced Security (TDE) but not Advanced Compression, so RMAN uses BASIC compression.</t>
  </si>
  <si>
    <t xml:space="preserve">Backup window agreement; licensing position confirmed by the client</t>
  </si>
  <si>
    <t xml:space="preserve">Client to confirm licensing position with its Oracle licensing team.</t>
  </si>
  <si>
    <t xml:space="preserve">Post-implementation</t>
  </si>
  <si>
    <t xml:space="preserve">Oracle – Validation</t>
  </si>
  <si>
    <t xml:space="preserve">Have all in-scope databases completed successful full, incremental and archive log backups for an agreed period (e.g. 14 consecutive days) with no gaps in the archive log sequence?</t>
  </si>
  <si>
    <t xml:space="preserve">ERP and Billing prod completed 14 consecutive days of backups (15–28 Sep 2026). One archive log gap on 21 Sep from an NFS mount timeout, since resolved.</t>
  </si>
  <si>
    <t xml:space="preserve">Evidence: RMAN job history export.</t>
  </si>
  <si>
    <t xml:space="preserve">Backup job history (RMAN job details / Azure Backup jobs)</t>
  </si>
  <si>
    <t xml:space="preserve">Closed</t>
  </si>
  <si>
    <t xml:space="preserve">Has backup integrity been verified (e.g. RMAN RESTORE VALIDATE / BACKUP VALIDATE CHECK LOGICAL), and has a full restore to an alternate host completed within the agreed RTO?</t>
  </si>
  <si>
    <t xml:space="preserve">RESTORE VALIDATE passed for all prod databases. Full ERP restore to an alternate VM completed in 3 h 10 min (RTO 4 h).</t>
  </si>
  <si>
    <t xml:space="preserve">Test on 30 Sep 2026.</t>
  </si>
  <si>
    <t xml:space="preserve">Validation output; timed restore test report</t>
  </si>
  <si>
    <t xml:space="preserve">Has a point-in-time recovery test (and PDB or table-level recovery where required) met the agreed RPO, with application owner sign-off on data integrity?</t>
  </si>
  <si>
    <t xml:space="preserve">ERP PITR test: 12 minutes data loss (RPO 15 min). PDB restore passed. Billing PITR scheduled 20 Oct 2026.</t>
  </si>
  <si>
    <t xml:space="preserve">ERP sign-off from service owner received.</t>
  </si>
  <si>
    <t xml:space="preserve">PITR test report with sign-off</t>
  </si>
  <si>
    <t xml:space="preserve">Complete Billing PITR test.</t>
  </si>
  <si>
    <t xml:space="preserve">Has a restore of encrypted backups been tested using the keystore recovered from its separate backup location?</t>
  </si>
  <si>
    <t xml:space="preserve">Not yet tested; keystore backup procedure being implemented.</t>
  </si>
  <si>
    <t xml:space="preserve">Keystore recovery test record</t>
  </si>
  <si>
    <t xml:space="preserve">Test after Q30 action complete.</t>
  </si>
  <si>
    <t xml:space="preserve">Open</t>
  </si>
  <si>
    <t xml:space="preserve">Are monitoring and alerts in place for failed or missed backups and archive log destination space, routed to an owned queue, and has a test alert been confirmed?</t>
  </si>
  <si>
    <t xml:space="preserve">Log alert on RMAN job status and recovery-area usage above 80%. Test alert reached ITSM on 30 Sep 2026.</t>
  </si>
  <si>
    <t xml:space="preserve">Alert rules; test alert evidence</t>
  </si>
  <si>
    <t xml:space="preserve">Have retention, immutability and deletion protection settings been verified as applied, and has backup storage consumption and cost been reconciled against estimates?</t>
  </si>
  <si>
    <t xml:space="preserve">30-day immutability verified on RMAN container. Storage cost 8% above estimate due to archive log volume.</t>
  </si>
  <si>
    <t xml:space="preserve">Configuration screenshots / exports; cost report</t>
  </si>
  <si>
    <t xml:space="preserve">Review archive log compression and lifecycle tiering.</t>
  </si>
  <si>
    <t xml:space="preserve">Have Data Guard switchover / failover (if used) and DR restore been tested, and have runbooks, roles and escalation paths been documented and handed over to operations?</t>
  </si>
  <si>
    <t xml:space="preserve">Data Guard switchover test planned for November 2026 change window. Runbooks drafted, not signed off.</t>
  </si>
  <si>
    <t xml:space="preserve">DR test report; runbooks; handover sign-off</t>
  </si>
  <si>
    <t xml:space="preserve">Run switchover test; obtain runbook sign-off.</t>
  </si>
  <si>
    <t xml:space="preserve">Recovery Objectives</t>
  </si>
  <si>
    <t xml:space="preserve">Are RPO and RTO targets defined for each workload tier across all Azure workloads, and how do current backup schedules compare with them?</t>
  </si>
  <si>
    <t xml:space="preserve">RPO/RTO defined for Tier 1 only; Tier 2 and 3 use defaults.</t>
  </si>
  <si>
    <t xml:space="preserve">RPO/RTO register by tier</t>
  </si>
  <si>
    <t xml:space="preserve">Define targets for Tier 2 and Tier 3.</t>
  </si>
  <si>
    <t xml:space="preserve">Backup Security</t>
  </si>
  <si>
    <t xml:space="preserve">Which vault security controls are in place (immutability, soft delete, multi-user authorisation / Resource Guard, private endpoints, separation of backup and workload admin roles)?</t>
  </si>
  <si>
    <t xml:space="preserve">Prod vault: immutability enabled (unlocked), soft delete on, no multi-user authorisation, public network access allowed.</t>
  </si>
  <si>
    <t xml:space="preserve">See Vault Configuration tab.</t>
  </si>
  <si>
    <t xml:space="preserve">Vault configuration export; RBAC assignments</t>
  </si>
  <si>
    <t xml:space="preserve">Enable Resource Guard in a separate subscription; lock immutability; add private endpoints.</t>
  </si>
  <si>
    <t xml:space="preserve">Monitoring &amp; Reporting</t>
  </si>
  <si>
    <t xml:space="preserve">How is backup health monitored and reported (Business Continuity Center, Azure Monitor alerts, Backup reports), and who receives and acts on alerts?</t>
  </si>
  <si>
    <t xml:space="preserve">Business Continuity Center reviewed weekly. Backup reports not configured.</t>
  </si>
  <si>
    <t xml:space="preserve">Alert rules; sample reports</t>
  </si>
  <si>
    <t xml:space="preserve">Configure Backup reports to Log Analytics.</t>
  </si>
  <si>
    <t xml:space="preserve">Compliance &amp; Retention</t>
  </si>
  <si>
    <t xml:space="preserve">Which regulatory, contractual or internal policies drive backup retention, legal hold or data residency requirements?</t>
  </si>
  <si>
    <t xml:space="preserve">Finance data 7 years (statutory). Customer data subject to UK GDPR. Backups must stay in the UK.</t>
  </si>
  <si>
    <t xml:space="preserve">Retention policy; compliance obligations list</t>
  </si>
  <si>
    <t xml:space="preserve">Disaster Recovery</t>
  </si>
  <si>
    <t xml:space="preserve">Which workloads require recovery in a secondary region, and is Cross Region Restore or another cross-region copy in place for them?</t>
  </si>
  <si>
    <t xml:space="preserve">Tier 1 must be recoverable in UK West. Prod vault is geo-redundant with Cross Region Restore; non-prod is locally redundant.</t>
  </si>
  <si>
    <t xml:space="preserve">DR requirements; vault redundancy settings</t>
  </si>
  <si>
    <t xml:space="preserve">Cost Management</t>
  </si>
  <si>
    <t xml:space="preserve">How are backup storage and protected-instance costs tracked and allocated, and are there known cost pressures influencing retention or coverage?</t>
  </si>
  <si>
    <t xml:space="preserve">Backup cost tracked per subscription using cost tags; about 11% of Azure spend.</t>
  </si>
  <si>
    <t xml:space="preserve">FinOps reviewing cost of 7-year retention.</t>
  </si>
  <si>
    <t xml:space="preserve">Cost report by vault / subscription</t>
  </si>
  <si>
    <t xml:space="preserve">FinOps Analyst</t>
  </si>
  <si>
    <t xml:space="preserve">Shaded rows (IDs 21 onward) are new questions added in this review. Columns E–K replace the previously unlabelled blank column.</t>
  </si>
  <si>
    <t xml:space="preserve">Workload Category</t>
  </si>
  <si>
    <t xml:space="preserve">Environments / Subscriptions in Scope</t>
  </si>
  <si>
    <t xml:space="preserve">Business Criticality</t>
  </si>
  <si>
    <t xml:space="preserve">Approx. Total in Scope</t>
  </si>
  <si>
    <t xml:space="preserve"># Protected</t>
  </si>
  <si>
    <t xml:space="preserve"># Excluded (approved)</t>
  </si>
  <si>
    <t xml:space="preserve"># Unprotected (gap)</t>
  </si>
  <si>
    <t xml:space="preserve">% Protected</t>
  </si>
  <si>
    <t xml:space="preserve">Primary Backup Method / Tool</t>
  </si>
  <si>
    <t xml:space="preserve">Vault Type</t>
  </si>
  <si>
    <t xml:space="preserve">Vault Name(s) (see Vault Configuration)</t>
  </si>
  <si>
    <t xml:space="preserve">Backup Frequency</t>
  </si>
  <si>
    <t xml:space="preserve">Operational Retention</t>
  </si>
  <si>
    <t xml:space="preserve">Long-Term Retention (weekly / monthly / yearly)</t>
  </si>
  <si>
    <t xml:space="preserve">Archive Tier Used</t>
  </si>
  <si>
    <t xml:space="preserve">Backup Consistency</t>
  </si>
  <si>
    <t xml:space="preserve">RPO Target</t>
  </si>
  <si>
    <t xml:space="preserve">RPO Achieved</t>
  </si>
  <si>
    <t xml:space="preserve">RTO Target</t>
  </si>
  <si>
    <t xml:space="preserve">Last Restore Test (date / result)</t>
  </si>
  <si>
    <t xml:space="preserve">Monitoring &amp; Alerting</t>
  </si>
  <si>
    <t xml:space="preserve">Backup Owner (team)</t>
  </si>
  <si>
    <t xml:space="preserve">Exclusions – Reason &amp; Approver</t>
  </si>
  <si>
    <t xml:space="preserve">Data Source / Evidence</t>
  </si>
  <si>
    <t xml:space="preserve">Confidence in Numbers</t>
  </si>
  <si>
    <t xml:space="preserve">Notes / Recommendations</t>
  </si>
  <si>
    <t xml:space="preserve">Virtual machines: Windows</t>
  </si>
  <si>
    <t xml:space="preserve">Prod &amp; Non-prod</t>
  </si>
  <si>
    <t xml:space="preserve">Mixed</t>
  </si>
  <si>
    <t xml:space="preserve">Azure Backup (Enhanced policy)</t>
  </si>
  <si>
    <t xml:space="preserve">Recovery Services vault</t>
  </si>
  <si>
    <t xml:space="preserve">rsv-fab-prod-uks-01; rsv-fab-nonprod-uks-01</t>
  </si>
  <si>
    <t xml:space="preserve">Every 4 h (Tier 1); daily (other)</t>
  </si>
  <si>
    <t xml:space="preserve">30 days (prod); 14 days (non-prod)</t>
  </si>
  <si>
    <t xml:space="preserve">W 12 / M 12 / Y 7 (prod)</t>
  </si>
  <si>
    <t xml:space="preserve">Yes</t>
  </si>
  <si>
    <t xml:space="preserve">Application-consistent</t>
  </si>
  <si>
    <t xml:space="preserve">4 h</t>
  </si>
  <si>
    <t xml:space="preserve">8 h</t>
  </si>
  <si>
    <t xml:space="preserve">Jun 2026 – 3 VMs restored, passed</t>
  </si>
  <si>
    <t xml:space="preserve">Cloud Platform</t>
  </si>
  <si>
    <t xml:space="preserve">4 stateless build agents rebuilt from image – approved by Head of Cloud Platform</t>
  </si>
  <si>
    <t xml:space="preserve">Resource Graph + Business Continuity Center, 14 Sep 2026</t>
  </si>
  <si>
    <t xml:space="preserve">2 prod VMs unprotected – deployed by a pipeline that skips the Backup tag.</t>
  </si>
  <si>
    <t xml:space="preserve">Virtual machines: Linux</t>
  </si>
  <si>
    <t xml:space="preserve">Azure Backup (Standard policy)</t>
  </si>
  <si>
    <t xml:space="preserve">Daily</t>
  </si>
  <si>
    <t xml:space="preserve">W 12 / M 12</t>
  </si>
  <si>
    <t xml:space="preserve">No</t>
  </si>
  <si>
    <t xml:space="preserve">File-system consistent</t>
  </si>
  <si>
    <t xml:space="preserve">24 h</t>
  </si>
  <si>
    <t xml:space="preserve">Jun 2026 – 1 VM restored, passed</t>
  </si>
  <si>
    <t xml:space="preserve">2 jump hosts – rebuilt from image</t>
  </si>
  <si>
    <t xml:space="preserve">Resource Graph, 14 Sep 2026</t>
  </si>
  <si>
    <t xml:space="preserve">Includes 4 Oracle hosts (OS only). 6 VMs unprotected incl. 2 with Ultra Disk (see Q11).</t>
  </si>
  <si>
    <t xml:space="preserve">VM scale sets</t>
  </si>
  <si>
    <t xml:space="preserve">Production</t>
  </si>
  <si>
    <t xml:space="preserve">Tier 3 – Standard</t>
  </si>
  <si>
    <t xml:space="preserve">None (stateless)</t>
  </si>
  <si>
    <t xml:space="preserve">None</t>
  </si>
  <si>
    <t xml:space="preserve">N/A</t>
  </si>
  <si>
    <t xml:space="preserve">All stateless web tier, rebuilt from image</t>
  </si>
  <si>
    <t xml:space="preserve">Managed disks (standalone)</t>
  </si>
  <si>
    <t xml:space="preserve">Tier 2 – Important</t>
  </si>
  <si>
    <t xml:space="preserve">Azure Disk Backup</t>
  </si>
  <si>
    <t xml:space="preserve">Backup vault</t>
  </si>
  <si>
    <t xml:space="preserve">bv-fab-prod-uks-01</t>
  </si>
  <si>
    <t xml:space="preserve">Every 4 h</t>
  </si>
  <si>
    <t xml:space="preserve">7 days</t>
  </si>
  <si>
    <t xml:space="preserve">Crash-consistent</t>
  </si>
  <si>
    <t xml:space="preserve">Not tested</t>
  </si>
  <si>
    <t xml:space="preserve">Partial</t>
  </si>
  <si>
    <t xml:space="preserve">7 standalone disks – ownership unclear; may be orphaned.</t>
  </si>
  <si>
    <t xml:space="preserve">SQL Server on Azure VMs</t>
  </si>
  <si>
    <t xml:space="preserve">Azure Backup for SQL in Azure VM</t>
  </si>
  <si>
    <t xml:space="preserve">rsv-fab-prod-uks-01</t>
  </si>
  <si>
    <t xml:space="preserve">Full weekly, diff daily, log 15 min</t>
  </si>
  <si>
    <t xml:space="preserve">30 days</t>
  </si>
  <si>
    <t xml:space="preserve">M 12</t>
  </si>
  <si>
    <t xml:space="preserve">15 min</t>
  </si>
  <si>
    <t xml:space="preserve">Apr 2026 – PITR passed</t>
  </si>
  <si>
    <t xml:space="preserve">DBA team</t>
  </si>
  <si>
    <t xml:space="preserve">Business Continuity Center, 14 Sep 2026</t>
  </si>
  <si>
    <t xml:space="preserve">Azure SQL Database</t>
  </si>
  <si>
    <t xml:space="preserve">Service-native PITR + LTR</t>
  </si>
  <si>
    <t xml:space="preserve">Service-native (no vault)</t>
  </si>
  <si>
    <t xml:space="preserve">Automatic</t>
  </si>
  <si>
    <t xml:space="preserve">35 days (prod); 7 days (non-prod)</t>
  </si>
  <si>
    <t xml:space="preserve">W 8 / M 12 (prod only)</t>
  </si>
  <si>
    <t xml:space="preserve">≤10 min (platform)</t>
  </si>
  <si>
    <t xml:space="preserve">2 h</t>
  </si>
  <si>
    <t xml:space="preserve">Application teams</t>
  </si>
  <si>
    <t xml:space="preserve">Azure portal export, 14 Sep 2026</t>
  </si>
  <si>
    <t xml:space="preserve">No restore tests performed.</t>
  </si>
  <si>
    <t xml:space="preserve">Azure SQL Managed Instance</t>
  </si>
  <si>
    <t xml:space="preserve">35 days</t>
  </si>
  <si>
    <t xml:space="preserve">M 12 / Y 7</t>
  </si>
  <si>
    <t xml:space="preserve">Aug 2026 – passed</t>
  </si>
  <si>
    <t xml:space="preserve">PostgreSQL / MySQL flexible servers</t>
  </si>
  <si>
    <t xml:space="preserve">Service-native backups; Azure Backup vaulted for 2 prod PostgreSQL</t>
  </si>
  <si>
    <t xml:space="preserve">Daily + continuous log</t>
  </si>
  <si>
    <t xml:space="preserve">7 days (native)</t>
  </si>
  <si>
    <t xml:space="preserve">M 12 (vaulted, 2 servers)</t>
  </si>
  <si>
    <t xml:space="preserve">1 h</t>
  </si>
  <si>
    <t xml:space="preserve">≤5 min (platform)</t>
  </si>
  <si>
    <t xml:space="preserve">Native 7-day retention below 30-day standard.</t>
  </si>
  <si>
    <t xml:space="preserve">Cosmos DB</t>
  </si>
  <si>
    <t xml:space="preserve">Service-native periodic backup</t>
  </si>
  <si>
    <t xml:space="preserve">8 h (2 copies)</t>
  </si>
  <si>
    <t xml:space="preserve">Consider continuous backup (30-day PITR).</t>
  </si>
  <si>
    <t xml:space="preserve">Oracle Database on Azure VMs</t>
  </si>
  <si>
    <t xml:space="preserve">Tier 1 – Critical</t>
  </si>
  <si>
    <t xml:space="preserve">RMAN to Azure Blob (NFS 3.0); Azure Backup for OS disks</t>
  </si>
  <si>
    <t xml:space="preserve">stfaborabkpuks01 (RMAN); rsv-fab-prod-uks-01 (OS)</t>
  </si>
  <si>
    <t xml:space="preserve">L0 weekly, L1 daily, archive logs 30 min</t>
  </si>
  <si>
    <t xml:space="preserve">14 days</t>
  </si>
  <si>
    <t xml:space="preserve">Monthly L0 kept 12 months</t>
  </si>
  <si>
    <t xml:space="preserve">15 min (ERP)</t>
  </si>
  <si>
    <t xml:space="preserve">30 min</t>
  </si>
  <si>
    <t xml:space="preserve">Sep 2026 – ERP full restore 3h10m, PITR passed</t>
  </si>
  <si>
    <t xml:space="preserve">DBA spreadsheet + RMAN job history</t>
  </si>
  <si>
    <t xml:space="preserve">RPO not met for ERP; TDE wallet not backed up separately; RMAN storage LRS. See Q28–Q33.</t>
  </si>
  <si>
    <t xml:space="preserve">Oracle Database@Azure</t>
  </si>
  <si>
    <t xml:space="preserve">OCI-managed automatic backups</t>
  </si>
  <si>
    <t xml:space="preserve">N/A (OCI)</t>
  </si>
  <si>
    <t xml:space="preserve">Weekly full, daily incremental (OCI managed)</t>
  </si>
  <si>
    <t xml:space="preserve">Unknown</t>
  </si>
  <si>
    <t xml:space="preserve">DBA team / Oracle (to confirm)</t>
  </si>
  <si>
    <t xml:space="preserve">Client statement – not verified</t>
  </si>
  <si>
    <t xml:space="preserve">Responsibility split with Oracle unconfirmed (Q27). No DR.</t>
  </si>
  <si>
    <t xml:space="preserve">SAP HANA on Azure VMs</t>
  </si>
  <si>
    <t xml:space="preserve">Confirmed by Head of Cloud Platform</t>
  </si>
  <si>
    <t xml:space="preserve">Not present in environment.</t>
  </si>
  <si>
    <t xml:space="preserve">Blob storage / ADLS Gen2</t>
  </si>
  <si>
    <t xml:space="preserve">Azure Backup for Blobs (operational + vaulted)</t>
  </si>
  <si>
    <t xml:space="preserve">Daily (vaulted)</t>
  </si>
  <si>
    <t xml:space="preserve">30 days (operational)</t>
  </si>
  <si>
    <t xml:space="preserve">M 12 (vaulted)</t>
  </si>
  <si>
    <t xml:space="preserve">3 diagnostic/log accounts – data reproducible</t>
  </si>
  <si>
    <t xml:space="preserve">6 analytics accounts unprotected – awaiting data owner decision.</t>
  </si>
  <si>
    <t xml:space="preserve">Azure Files</t>
  </si>
  <si>
    <t xml:space="preserve">Azure Backup (snapshot)</t>
  </si>
  <si>
    <t xml:space="preserve">May 2026 – file restore passed</t>
  </si>
  <si>
    <t xml:space="preserve">Includes ERP interface share (see Q25).</t>
  </si>
  <si>
    <t xml:space="preserve">Azure NetApp Files</t>
  </si>
  <si>
    <t xml:space="preserve">ANF snapshots + ANF backup</t>
  </si>
  <si>
    <t xml:space="preserve">Hourly snapshot; daily backup</t>
  </si>
  <si>
    <t xml:space="preserve">48 h snapshots; 30 days backup</t>
  </si>
  <si>
    <t xml:space="preserve">M 6</t>
  </si>
  <si>
    <t xml:space="preserve">AKS (persistent volumes)</t>
  </si>
  <si>
    <t xml:space="preserve">Azure Backup for AKS</t>
  </si>
  <si>
    <t xml:space="preserve">Platform Engineering</t>
  </si>
  <si>
    <t xml:space="preserve">Dev cluster – stateless</t>
  </si>
  <si>
    <t xml:space="preserve">Test cluster has stateful volumes and no backup.</t>
  </si>
  <si>
    <t xml:space="preserve">App Service / Functions</t>
  </si>
  <si>
    <t xml:space="preserve">App Service built-in backup</t>
  </si>
  <si>
    <t xml:space="preserve">12 apps redeployable from Git via CI/CD</t>
  </si>
  <si>
    <t xml:space="preserve">3 apps with local content unprotected.</t>
  </si>
  <si>
    <t xml:space="preserve">Key Vault</t>
  </si>
  <si>
    <t xml:space="preserve">Soft delete (90 days) + purge protection</t>
  </si>
  <si>
    <t xml:space="preserve">90 days (soft delete)</t>
  </si>
  <si>
    <t xml:space="preserve">Security</t>
  </si>
  <si>
    <t xml:space="preserve">Azure Policy compliance report</t>
  </si>
  <si>
    <t xml:space="preserve">Purge protection disabled on 2 vaults.</t>
  </si>
  <si>
    <t xml:space="preserve">On-premises servers (MARS / MABS / DPM)</t>
  </si>
  <si>
    <t xml:space="preserve">Shared Services</t>
  </si>
  <si>
    <t xml:space="preserve">MABS v4 to Azure</t>
  </si>
  <si>
    <t xml:space="preserve">rsv-fab-onprem-uks-01</t>
  </si>
  <si>
    <t xml:space="preserve">Feb 2026 – file restore passed</t>
  </si>
  <si>
    <t xml:space="preserve">Infrastructure Operations</t>
  </si>
  <si>
    <t xml:space="preserve">MABS console export</t>
  </si>
  <si>
    <t xml:space="preserve">MABS server itself not protected.</t>
  </si>
  <si>
    <t xml:space="preserve">Other services (to be identified)</t>
  </si>
  <si>
    <t xml:space="preserve">ARM/Bicep templates in Git</t>
  </si>
  <si>
    <t xml:space="preserve">Data Factory and Logic Apps configuration backup not yet assessed.</t>
  </si>
  <si>
    <t xml:space="preserve">Total (all categories)</t>
  </si>
  <si>
    <t xml:space="preserve">Note: '# Unprotected (gap)' = Total − Protected − Approved exclusions. The total-row gap and % Protected only include categories where both Total and Protected are entered. '% Protected' shading in red indicates below 80% coverage (indicative only, not a target).</t>
  </si>
  <si>
    <t xml:space="preserve">Vault Name</t>
  </si>
  <si>
    <t xml:space="preserve">Subscription / Environment</t>
  </si>
  <si>
    <t xml:space="preserve">Region</t>
  </si>
  <si>
    <t xml:space="preserve">Workload Categories Protected</t>
  </si>
  <si>
    <t xml:space="preserve">Backup Storage Redundancy</t>
  </si>
  <si>
    <t xml:space="preserve">Cross Region Restore</t>
  </si>
  <si>
    <t xml:space="preserve">Soft Delete State</t>
  </si>
  <si>
    <t xml:space="preserve">Soft Delete Retention (days)</t>
  </si>
  <si>
    <t xml:space="preserve">Vault Immutability</t>
  </si>
  <si>
    <t xml:space="preserve">Vault Immutability Type</t>
  </si>
  <si>
    <t xml:space="preserve">Multi-User Authorisation (Resource Guard)</t>
  </si>
  <si>
    <t xml:space="preserve">Managed Identity</t>
  </si>
  <si>
    <t xml:space="preserve">Encryption Type</t>
  </si>
  <si>
    <t xml:space="preserve">CMK Key Vault &amp; Rotation</t>
  </si>
  <si>
    <t xml:space="preserve">Infrastructure Encryption</t>
  </si>
  <si>
    <t xml:space="preserve">Vault Access</t>
  </si>
  <si>
    <t xml:space="preserve">Private Endpoint</t>
  </si>
  <si>
    <t xml:space="preserve">Backup RBAC Separated from Workload Admins</t>
  </si>
  <si>
    <t xml:space="preserve">Diagnostics to Log Analytics</t>
  </si>
  <si>
    <t xml:space="preserve">Notes</t>
  </si>
  <si>
    <t xml:space="preserve">UK South</t>
  </si>
  <si>
    <t xml:space="preserve">Windows/Linux VMs, SQL on VMs, Azure Files, Oracle host OS disks</t>
  </si>
  <si>
    <t xml:space="preserve">Geo-redundant</t>
  </si>
  <si>
    <t xml:space="preserve">Enabled</t>
  </si>
  <si>
    <t xml:space="preserve">Enabled (unlocked)</t>
  </si>
  <si>
    <t xml:space="preserve">Enable based on backup policy</t>
  </si>
  <si>
    <t xml:space="preserve">System-assigned</t>
  </si>
  <si>
    <t xml:space="preserve">Use Microsoft-managed key (default)</t>
  </si>
  <si>
    <t xml:space="preserve">Allow public access</t>
  </si>
  <si>
    <t xml:space="preserve">Gap: no multi-user authorisation; public access allowed; immutability not locked.</t>
  </si>
  <si>
    <t xml:space="preserve">rsv-fab-nonprod-uks-01</t>
  </si>
  <si>
    <t xml:space="preserve">Non-production</t>
  </si>
  <si>
    <t xml:space="preserve">Windows/Linux VMs, Azure Files</t>
  </si>
  <si>
    <t xml:space="preserve">Locally-redundant</t>
  </si>
  <si>
    <t xml:space="preserve">N/A (not geo-redundant)</t>
  </si>
  <si>
    <t xml:space="preserve">Disabled</t>
  </si>
  <si>
    <t xml:space="preserve">Client accepts reduced controls for non-production.</t>
  </si>
  <si>
    <t xml:space="preserve">Blobs, managed disks, AKS, PostgreSQL (vaulted)</t>
  </si>
  <si>
    <t xml:space="preserve">Zone-redundant</t>
  </si>
  <si>
    <t xml:space="preserve">Enabled – always-on</t>
  </si>
  <si>
    <t xml:space="preserve">Enabled and locked</t>
  </si>
  <si>
    <t xml:space="preserve">Use customer-managed key</t>
  </si>
  <si>
    <t xml:space="preserve">kv-fab-backup-uks-01; annual rotation</t>
  </si>
  <si>
    <t xml:space="preserve">Deny public access and allow private access</t>
  </si>
  <si>
    <t xml:space="preserve">Reference configuration for other vaults.</t>
  </si>
  <si>
    <t xml:space="preserve">On-premises servers via MABS</t>
  </si>
  <si>
    <t xml:space="preserve">Gap: immutability and Cross Region Restore not enabled.</t>
  </si>
  <si>
    <t xml:space="preserve">Database Identifier</t>
  </si>
  <si>
    <t xml:space="preserve">Engine</t>
  </si>
  <si>
    <t xml:space="preserve">Hosting Model</t>
  </si>
  <si>
    <t xml:space="preserve">Environment</t>
  </si>
  <si>
    <t xml:space="preserve">Version / Edition</t>
  </si>
  <si>
    <t xml:space="preserve">Architecture (single / RAC / CDB-PDB / Data Guard)</t>
  </si>
  <si>
    <t xml:space="preserve">Size (GB)</t>
  </si>
  <si>
    <t xml:space="preserve">Daily Change / Archive Log (GB)</t>
  </si>
  <si>
    <t xml:space="preserve">Log Mode</t>
  </si>
  <si>
    <t xml:space="preserve">Backup Method / Tool</t>
  </si>
  <si>
    <t xml:space="preserve">Backup Target</t>
  </si>
  <si>
    <t xml:space="preserve">Full / Level 0 Schedule</t>
  </si>
  <si>
    <t xml:space="preserve">Incremental Schedule</t>
  </si>
  <si>
    <t xml:space="preserve">Log Backup Frequency</t>
  </si>
  <si>
    <t xml:space="preserve">Block Change Tracking</t>
  </si>
  <si>
    <t xml:space="preserve">Encryption (TDE / backup)</t>
  </si>
  <si>
    <t xml:space="preserve">Keystore / Wallet Backup Location</t>
  </si>
  <si>
    <t xml:space="preserve">Long-Term Retention</t>
  </si>
  <si>
    <t xml:space="preserve">Immutable Copy</t>
  </si>
  <si>
    <t xml:space="preserve">Cross-Region / DR Copy</t>
  </si>
  <si>
    <t xml:space="preserve">Validation Status</t>
  </si>
  <si>
    <t xml:space="preserve">DB Owner (team)</t>
  </si>
  <si>
    <t xml:space="preserve">ORA-ERP-P</t>
  </si>
  <si>
    <t xml:space="preserve">Oracle</t>
  </si>
  <si>
    <t xml:space="preserve">Azure VM</t>
  </si>
  <si>
    <t xml:space="preserve">19c EE</t>
  </si>
  <si>
    <t xml:space="preserve">Single-instance CDB, 2 PDBs; Data Guard standby (UK West)</t>
  </si>
  <si>
    <t xml:space="preserve">ARCHIVELOG</t>
  </si>
  <si>
    <t xml:space="preserve">RMAN</t>
  </si>
  <si>
    <t xml:space="preserve">Azure Blob (NFS 3.0) – stfaborabkpuks01</t>
  </si>
  <si>
    <t xml:space="preserve">Sun 01:00 level 0</t>
  </si>
  <si>
    <t xml:space="preserve">Mon–Sat 01:00 level 1</t>
  </si>
  <si>
    <t xml:space="preserve">Every 30 min</t>
  </si>
  <si>
    <t xml:space="preserve">TDE (tablespace)</t>
  </si>
  <si>
    <t xml:space="preserve">On database host only</t>
  </si>
  <si>
    <t xml:space="preserve">Monthly L0, 12 months</t>
  </si>
  <si>
    <t xml:space="preserve">Data Guard standby (UK West)</t>
  </si>
  <si>
    <t xml:space="preserve">30 Sep 2026 – full restore 3h10m; PITR passed</t>
  </si>
  <si>
    <t xml:space="preserve">Passed</t>
  </si>
  <si>
    <t xml:space="preserve">Archive log frequency to move to 10 min; keystore backup outstanding.</t>
  </si>
  <si>
    <t xml:space="preserve">ORA-ERP-T</t>
  </si>
  <si>
    <t xml:space="preserve">Single-instance CDB</t>
  </si>
  <si>
    <t xml:space="preserve">Monthly refresh from prod</t>
  </si>
  <si>
    <t xml:space="preserve">ORA-BIL-P</t>
  </si>
  <si>
    <t xml:space="preserve">Non-CDB single instance</t>
  </si>
  <si>
    <t xml:space="preserve">Sun 02:00 level 0</t>
  </si>
  <si>
    <t xml:space="preserve">Mon–Sat 02:00 level 1</t>
  </si>
  <si>
    <t xml:space="preserve">PITR scheduled 20 Oct 2026</t>
  </si>
  <si>
    <t xml:space="preserve">In progress</t>
  </si>
  <si>
    <t xml:space="preserve">Moving to Oracle Database@Azure Q1 2027; no DR today.</t>
  </si>
  <si>
    <t xml:space="preserve">ORA-BIL-T</t>
  </si>
  <si>
    <t xml:space="preserve">NOARCHIVELOG</t>
  </si>
  <si>
    <t xml:space="preserve">RMAN (offline / cold)</t>
  </si>
  <si>
    <t xml:space="preserve">Sun 03:00 offline full</t>
  </si>
  <si>
    <t xml:space="preserve">Not started</t>
  </si>
  <si>
    <t xml:space="preserve">ORA-DWH-P</t>
  </si>
  <si>
    <t xml:space="preserve">2-node RAC on Exadata</t>
  </si>
  <si>
    <t xml:space="preserve">OCI automatic backup</t>
  </si>
  <si>
    <t xml:space="preserve">OCI-managed (to confirm)</t>
  </si>
  <si>
    <t xml:space="preserve">Weekly (OCI managed)</t>
  </si>
  <si>
    <t xml:space="preserve">Daily (OCI managed)</t>
  </si>
  <si>
    <t xml:space="preserve">To confirm</t>
  </si>
  <si>
    <t xml:space="preserve">TDE (OCI-managed keys)</t>
  </si>
  <si>
    <t xml:space="preserve">Responsibility split unconfirmed (Q27).</t>
  </si>
  <si>
    <t xml:space="preserve">ORA-DWH-T</t>
  </si>
  <si>
    <t xml:space="preserve">SQL-CRM-P</t>
  </si>
  <si>
    <t xml:space="preserve">SQL Server</t>
  </si>
  <si>
    <t xml:space="preserve">SQL Server 2022 Enterprise</t>
  </si>
  <si>
    <t xml:space="preserve">Always On AG (2 replicas)</t>
  </si>
  <si>
    <t xml:space="preserve">Full recovery</t>
  </si>
  <si>
    <t xml:space="preserve">Sun 00:00 full</t>
  </si>
  <si>
    <t xml:space="preserve">Daily differential</t>
  </si>
  <si>
    <t xml:space="preserve">Every 15 min</t>
  </si>
  <si>
    <t xml:space="preserve">TDE</t>
  </si>
  <si>
    <t xml:space="preserve">Certificate in Key Vault</t>
  </si>
  <si>
    <t xml:space="preserve">Monthly, 12 months</t>
  </si>
  <si>
    <t xml:space="preserve">Cross Region Restore (GRS vault)</t>
  </si>
  <si>
    <t xml:space="preserve">SQLDB-PORTAL-P</t>
  </si>
  <si>
    <t xml:space="preserve">Azure PaaS</t>
  </si>
  <si>
    <t xml:space="preserve">Azure SQL Database (General Purpose)</t>
  </si>
  <si>
    <t xml:space="preserve">Platform-managed</t>
  </si>
  <si>
    <t xml:space="preserve">Weekly (automatic)</t>
  </si>
  <si>
    <t xml:space="preserve">12–24 h differential (automatic)</t>
  </si>
  <si>
    <t xml:space="preserve">5–10 min (automatic)</t>
  </si>
  <si>
    <t xml:space="preserve">TDE (service-managed)</t>
  </si>
  <si>
    <t xml:space="preserve">Weekly 8 / Monthly 12</t>
  </si>
  <si>
    <t xml:space="preserve">Geo-redundant backup storage</t>
  </si>
  <si>
    <t xml:space="preserve">Customer Portal team</t>
  </si>
  <si>
    <t xml:space="preserve">One row per database (or per PDB where recovery requirements differ). Use an anonymised identifier while working in non-confidential environments.</t>
  </si>
  <si>
    <t xml:space="preserve">#</t>
  </si>
  <si>
    <t xml:space="preserve">Worksheet</t>
  </si>
  <si>
    <t xml:space="preserve">Area</t>
  </si>
  <si>
    <t xml:space="preserve">Finding</t>
  </si>
  <si>
    <t xml:space="preserve">Change Made / Recommendation</t>
  </si>
  <si>
    <t xml:space="preserve">Questionnaire</t>
  </si>
  <si>
    <t xml:space="preserve">Sheet / file name</t>
  </si>
  <si>
    <t xml:space="preserve">Sheet tab and file name were spelled 'Questionnarie'.</t>
  </si>
  <si>
    <t xml:space="preserve">Tab renamed to 'Questionnaire'; suggest renaming the file as well.</t>
  </si>
  <si>
    <t xml:space="preserve">Column D</t>
  </si>
  <si>
    <t xml:space="preserve">Unlabelled blank column between Question and Response; purpose unclear to respondents.</t>
  </si>
  <si>
    <t xml:space="preserve">Replaced with structured capture columns: Client Response, Current Configuration / Technical Details, Evidence Requested, Respondent (Role), Gap / Risk Rating, Follow-up Action &amp; Owner, Status.</t>
  </si>
  <si>
    <t xml:space="preserve">No way to distinguish pre- and post-implementation questions.</t>
  </si>
  <si>
    <t xml:space="preserve">Added Phase column with dropdown.</t>
  </si>
  <si>
    <t xml:space="preserve">Typos: Owenership, Iteams, Excepctions, Worload, Ponts; inconsistent capitalisation.</t>
  </si>
  <si>
    <t xml:space="preserve">Corrected. 'Azure Environment' (Q19) renamed 'Planned Changes' to reflect the question.</t>
  </si>
  <si>
    <t xml:space="preserve">Q5</t>
  </si>
  <si>
    <t xml:space="preserve">Question read as two fragments ('...Azure workloads? other than Azure native Backup').</t>
  </si>
  <si>
    <t xml:space="preserve">Reworded into a single question. Q20 still refers to the 'Azure-native backup environment' – consider broadening if other tools are in use.</t>
  </si>
  <si>
    <t xml:space="preserve">Coverage</t>
  </si>
  <si>
    <t xml:space="preserve">No questions on RPO/RTO, vault security, monitoring, compliance-driven retention, DR, or cost.</t>
  </si>
  <si>
    <t xml:space="preserve">Added Q44–Q49.</t>
  </si>
  <si>
    <t xml:space="preserve">No database-specific questions despite likely Oracle estate.</t>
  </si>
  <si>
    <t xml:space="preserve">Added Q21–Q43 covering discovery, configuration, backup and recovery requirements, and post-implementation validation.</t>
  </si>
  <si>
    <t xml:space="preserve">Formatting</t>
  </si>
  <si>
    <t xml:space="preserve">No wrap text, freeze panes or filters; Calibri font differs from Arial used in inventory.</t>
  </si>
  <si>
    <t xml:space="preserve">Added wrap, freeze panes and filter. Consider standardising the font across sheets.</t>
  </si>
  <si>
    <t xml:space="preserve">Protection Inventory</t>
  </si>
  <si>
    <t xml:space="preserve">Structure</t>
  </si>
  <si>
    <t xml:space="preserve">Vault-level settings (redundancy, CRR, immutability, soft delete, identity, encryption, access) were recorded per workload category, but one category can span several vaults and many categories (Azure SQL, Cosmos DB, Key Vault, App Service) do not use a vault.</t>
  </si>
  <si>
    <t xml:space="preserve">Moved vault settings to a new 'Vault Configuration' sheet keyed by vault name; inventory now references vault names.</t>
  </si>
  <si>
    <t xml:space="preserve">Categories</t>
  </si>
  <si>
    <t xml:space="preserve">'Specialist (SAP HANA, Oracle)' combined two workloads with very different protection approaches; Azure SQL DB and Managed Instance combined; no rows for Azure NetApp Files or on-premises servers (despite Q13).</t>
  </si>
  <si>
    <t xml:space="preserve">Split SAP HANA, Oracle on Azure VMs and Oracle Database@Azure; split SQL DB / MI; added Azure NetApp Files and on-premises (MARS / MABS / DPM). Consider Azure VMware Solution and Databricks if relevant.</t>
  </si>
  <si>
    <t xml:space="preserve"># Not Protected</t>
  </si>
  <si>
    <t xml:space="preserve">Calculated as Total − Protected, so approved exclusions were counted as gaps; exclusion count and reason shared one free-text column.</t>
  </si>
  <si>
    <t xml:space="preserve">Added numeric '# Excluded (approved)'; '# Unprotected (gap)' now = Total − Protected − Excluded. Reason and approver captured separately.</t>
  </si>
  <si>
    <t xml:space="preserve">Number format was General (displays 0.8 rather than 80%); conditional formatting did not cover the total row; total % could be distorted when a category had a total but no protected count.</t>
  </si>
  <si>
    <t xml:space="preserve">Formatted as percentage, extended red shading to total, and total % now only uses categories where both figures are entered.</t>
  </si>
  <si>
    <t xml:space="preserve">Policy Summary</t>
  </si>
  <si>
    <t xml:space="preserve">Frequency and retention combined in one free-text field, hard to compare against RPO.</t>
  </si>
  <si>
    <t xml:space="preserve">Split into Backup Frequency, Operational Retention, Long-Term Retention and Archive Tier.</t>
  </si>
  <si>
    <t xml:space="preserve">Missing fields</t>
  </si>
  <si>
    <t xml:space="preserve">No business criticality, RPO/RTO targets vs achieved, backup consistency, last restore test, monitoring, owner, data source, or gap rating.</t>
  </si>
  <si>
    <t xml:space="preserve">Added these columns with dropdowns where appropriate.</t>
  </si>
  <si>
    <t xml:space="preserve">Row 2 (Windows VMs)</t>
  </si>
  <si>
    <t xml:space="preserve">Managed identity was pre-filled 'Enable System Identity' with no vault recorded; inconsistent with all other rows. Totals entered as 0 rather than blank.</t>
  </si>
  <si>
    <t xml:space="preserve">Managed identity moved to Vault Configuration (value not carried over – confirm per vault). Zeros retained; replace with actual counts or clear.</t>
  </si>
  <si>
    <t xml:space="preserve">Dropdown wording</t>
  </si>
  <si>
    <t xml:space="preserve">Cross Region Restore used Enable/Disable while Immutability used Yes/No; CRR only applies to geo-redundant vaults.</t>
  </si>
  <si>
    <t xml:space="preserve">Standardised to Yes / No / N/A (not geo-redundant).</t>
  </si>
  <si>
    <t xml:space="preserve">Vault Configuration</t>
  </si>
  <si>
    <t xml:space="preserve">Immutability</t>
  </si>
  <si>
    <t xml:space="preserve">Original 'Vault Immutability Type' options did not clearly express whether immutability is locked (irreversible).</t>
  </si>
  <si>
    <t xml:space="preserve">Added 'Vault Immutability' (Disabled / Enabled (unlocked) / Enabled and locked). Original options kept in 'Vault Immutability Type' – confirm against current Azure portal.</t>
  </si>
  <si>
    <t xml:space="preserve">Soft delete</t>
  </si>
  <si>
    <t xml:space="preserve">Retention period had no validation and soft delete state was not captured.</t>
  </si>
  <si>
    <t xml:space="preserve">Added soft delete state and 14–180 day validation.</t>
  </si>
  <si>
    <t xml:space="preserve">No capture of multi-user authorisation, private endpoints, CMK key management, infrastructure encryption, RBAC separation or diagnostics.</t>
  </si>
  <si>
    <t xml:space="preserve">Added columns.</t>
  </si>
  <si>
    <t xml:space="preserve">Database Protection Detail</t>
  </si>
  <si>
    <t xml:space="preserve">New sheet</t>
  </si>
  <si>
    <t xml:space="preserve">Category-level rows cannot capture per-database RMAN, log mode, encryption keystore or RPO/RTO details needed for Oracle.</t>
  </si>
  <si>
    <t xml:space="preserve">Added per-database sheet (usable for SQL Server, SAP HANA and others too).</t>
  </si>
</sst>
</file>

<file path=xl/styles.xml><?xml version="1.0" encoding="utf-8"?>
<styleSheet xmlns="http://schemas.openxmlformats.org/spreadsheetml/2006/main">
  <numFmts count="2">
    <numFmt numFmtId="164" formatCode="General"/>
    <numFmt numFmtId="165" formatCode="0%"/>
  </numFmts>
  <fonts count="15">
    <font>
      <sz val="11"/>
      <color theme="1"/>
      <name val="Calibri"/>
      <family val="2"/>
      <charset val="1"/>
    </font>
    <font>
      <sz val="10"/>
      <name val="Arial"/>
      <family val="0"/>
    </font>
    <font>
      <sz val="10"/>
      <name val="Arial"/>
      <family val="0"/>
    </font>
    <font>
      <sz val="10"/>
      <name val="Arial"/>
      <family val="0"/>
    </font>
    <font>
      <b val="true"/>
      <sz val="14"/>
      <color rgb="FF582873"/>
      <name val="Arial"/>
      <family val="0"/>
      <charset val="1"/>
    </font>
    <font>
      <sz val="10"/>
      <name val="Arial"/>
      <family val="0"/>
      <charset val="1"/>
    </font>
    <font>
      <b val="true"/>
      <sz val="11"/>
      <name val="Arial"/>
      <family val="0"/>
      <charset val="1"/>
    </font>
    <font>
      <b val="true"/>
      <sz val="11"/>
      <name val="Calibri"/>
      <family val="0"/>
      <charset val="1"/>
    </font>
    <font>
      <sz val="11"/>
      <name val="Calibri"/>
      <family val="0"/>
      <charset val="1"/>
    </font>
    <font>
      <i val="true"/>
      <sz val="9"/>
      <name val="Calibri"/>
      <family val="0"/>
      <charset val="1"/>
    </font>
    <font>
      <b val="true"/>
      <sz val="10"/>
      <color rgb="FFFFFFFF"/>
      <name val="Arial"/>
      <family val="0"/>
      <charset val="1"/>
    </font>
    <font>
      <b val="true"/>
      <sz val="10"/>
      <name val="Arial"/>
      <family val="0"/>
      <charset val="1"/>
    </font>
    <font>
      <sz val="9"/>
      <name val="Arial"/>
      <family val="0"/>
      <charset val="1"/>
    </font>
    <font>
      <sz val="10"/>
      <name val="Arial"/>
      <family val="2"/>
    </font>
    <font>
      <i val="true"/>
      <sz val="9"/>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EAF4FB"/>
        <bgColor rgb="FFF3EAF8"/>
      </patternFill>
    </fill>
    <fill>
      <patternFill patternType="solid">
        <fgColor rgb="FF582873"/>
        <bgColor rgb="FF333333"/>
      </patternFill>
    </fill>
    <fill>
      <patternFill patternType="solid">
        <fgColor rgb="FFF3EAF8"/>
        <bgColor rgb="FFEAF4FB"/>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EAF4FB"/>
          <bgColor rgb="FF000000"/>
        </patternFill>
      </fill>
    </dxf>
    <dxf>
      <fill>
        <patternFill patternType="solid">
          <fgColor rgb="FFFFFF00"/>
          <bgColor rgb="FF000000"/>
        </patternFill>
      </fill>
    </dxf>
    <dxf>
      <fill>
        <patternFill patternType="solid">
          <bgColor rgb="FF000000"/>
        </patternFill>
      </fill>
    </dxf>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EAF8"/>
      <rgbColor rgb="FFEAF4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82873"/>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2"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E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4" width="10"/>
    <col collapsed="false" customWidth="true" hidden="false" outlineLevel="0" max="2" min="2" style="4" width="20"/>
    <col collapsed="false" customWidth="true" hidden="false" outlineLevel="0" max="3" min="3" style="4" width="30"/>
    <col collapsed="false" customWidth="true" hidden="false" outlineLevel="0" max="4" min="4" style="4" width="80"/>
    <col collapsed="false" customWidth="true" hidden="false" outlineLevel="0" max="6" min="5" style="4" width="45"/>
    <col collapsed="false" customWidth="true" hidden="false" outlineLevel="0" max="7" min="7" style="4" width="38"/>
    <col collapsed="false" customWidth="true" hidden="false" outlineLevel="0" max="8" min="8" style="4" width="20"/>
    <col collapsed="false" customWidth="true" hidden="false" outlineLevel="0" max="9" min="9" style="4" width="14"/>
    <col collapsed="false" customWidth="true" hidden="false" outlineLevel="0" max="10" min="10" style="4" width="35"/>
    <col collapsed="false" customWidth="true" hidden="false" outlineLevel="0" max="11" min="11" style="4" width="14"/>
  </cols>
  <sheetData>
    <row r="1" customFormat="false" ht="27.75" hidden="false" customHeight="true" outlineLevel="0" collapsed="false">
      <c r="A1" s="5" t="s">
        <v>8</v>
      </c>
      <c r="B1" s="5" t="s">
        <v>9</v>
      </c>
      <c r="C1" s="5" t="s">
        <v>10</v>
      </c>
      <c r="D1" s="5" t="s">
        <v>11</v>
      </c>
      <c r="E1" s="5" t="s">
        <v>12</v>
      </c>
      <c r="F1" s="5" t="s">
        <v>13</v>
      </c>
      <c r="G1" s="5" t="s">
        <v>14</v>
      </c>
      <c r="H1" s="5" t="s">
        <v>15</v>
      </c>
      <c r="I1" s="5" t="s">
        <v>16</v>
      </c>
      <c r="J1" s="5" t="s">
        <v>17</v>
      </c>
      <c r="K1" s="5" t="s">
        <v>18</v>
      </c>
    </row>
    <row r="2" customFormat="false" ht="27.75" hidden="false" customHeight="true" outlineLevel="0" collapsed="false">
      <c r="A2" s="6" t="n">
        <v>1</v>
      </c>
      <c r="B2" s="6" t="s">
        <v>19</v>
      </c>
      <c r="C2" s="6" t="s">
        <v>20</v>
      </c>
      <c r="D2" s="6" t="s">
        <v>21</v>
      </c>
      <c r="E2" s="6" t="s">
        <v>22</v>
      </c>
      <c r="F2" s="6" t="s">
        <v>23</v>
      </c>
      <c r="G2" s="6" t="s">
        <v>24</v>
      </c>
      <c r="H2" s="6" t="s">
        <v>25</v>
      </c>
      <c r="I2" s="6" t="s">
        <v>26</v>
      </c>
      <c r="J2" s="6" t="s">
        <v>27</v>
      </c>
      <c r="K2" s="6" t="s">
        <v>28</v>
      </c>
    </row>
    <row r="3" customFormat="false" ht="27.75" hidden="false" customHeight="true" outlineLevel="0" collapsed="false">
      <c r="A3" s="6" t="n">
        <v>2</v>
      </c>
      <c r="B3" s="6" t="s">
        <v>19</v>
      </c>
      <c r="C3" s="6" t="s">
        <v>29</v>
      </c>
      <c r="D3" s="6" t="s">
        <v>30</v>
      </c>
      <c r="E3" s="6" t="s">
        <v>31</v>
      </c>
      <c r="F3" s="6" t="s">
        <v>32</v>
      </c>
      <c r="G3" s="6" t="s">
        <v>33</v>
      </c>
      <c r="H3" s="6" t="s">
        <v>34</v>
      </c>
      <c r="I3" s="6" t="s">
        <v>26</v>
      </c>
      <c r="J3" s="6"/>
      <c r="K3" s="6" t="s">
        <v>28</v>
      </c>
    </row>
    <row r="4" customFormat="false" ht="15" hidden="false" customHeight="true" outlineLevel="0" collapsed="false">
      <c r="A4" s="6" t="n">
        <v>3</v>
      </c>
      <c r="B4" s="6" t="s">
        <v>19</v>
      </c>
      <c r="C4" s="6" t="s">
        <v>35</v>
      </c>
      <c r="D4" s="6" t="s">
        <v>36</v>
      </c>
      <c r="E4" s="6" t="s">
        <v>37</v>
      </c>
      <c r="F4" s="6" t="s">
        <v>38</v>
      </c>
      <c r="G4" s="6" t="s">
        <v>39</v>
      </c>
      <c r="H4" s="6" t="s">
        <v>40</v>
      </c>
      <c r="I4" s="6" t="s">
        <v>41</v>
      </c>
      <c r="J4" s="6" t="s">
        <v>42</v>
      </c>
      <c r="K4" s="6" t="s">
        <v>43</v>
      </c>
    </row>
    <row r="5" customFormat="false" ht="15" hidden="false" customHeight="true" outlineLevel="0" collapsed="false">
      <c r="A5" s="6" t="n">
        <v>4</v>
      </c>
      <c r="B5" s="6" t="s">
        <v>19</v>
      </c>
      <c r="C5" s="6" t="s">
        <v>44</v>
      </c>
      <c r="D5" s="6" t="s">
        <v>45</v>
      </c>
      <c r="E5" s="6" t="s">
        <v>46</v>
      </c>
      <c r="F5" s="6" t="s">
        <v>47</v>
      </c>
      <c r="G5" s="6" t="s">
        <v>48</v>
      </c>
      <c r="H5" s="6" t="s">
        <v>25</v>
      </c>
      <c r="I5" s="6" t="s">
        <v>49</v>
      </c>
      <c r="J5" s="6" t="s">
        <v>50</v>
      </c>
      <c r="K5" s="6" t="s">
        <v>43</v>
      </c>
    </row>
    <row r="6" customFormat="false" ht="27.75" hidden="false" customHeight="true" outlineLevel="0" collapsed="false">
      <c r="A6" s="6" t="n">
        <v>5</v>
      </c>
      <c r="B6" s="6" t="s">
        <v>19</v>
      </c>
      <c r="C6" s="6" t="s">
        <v>51</v>
      </c>
      <c r="D6" s="6" t="s">
        <v>52</v>
      </c>
      <c r="E6" s="6" t="s">
        <v>53</v>
      </c>
      <c r="F6" s="6" t="s">
        <v>54</v>
      </c>
      <c r="G6" s="6" t="s">
        <v>55</v>
      </c>
      <c r="H6" s="6" t="s">
        <v>56</v>
      </c>
      <c r="I6" s="6" t="s">
        <v>57</v>
      </c>
      <c r="J6" s="6"/>
      <c r="K6" s="6" t="s">
        <v>28</v>
      </c>
    </row>
    <row r="7" customFormat="false" ht="15" hidden="false" customHeight="true" outlineLevel="0" collapsed="false">
      <c r="A7" s="6" t="n">
        <v>6</v>
      </c>
      <c r="B7" s="6" t="s">
        <v>19</v>
      </c>
      <c r="C7" s="6" t="s">
        <v>58</v>
      </c>
      <c r="D7" s="6" t="s">
        <v>59</v>
      </c>
      <c r="E7" s="6" t="s">
        <v>60</v>
      </c>
      <c r="F7" s="6" t="s">
        <v>61</v>
      </c>
      <c r="G7" s="6" t="s">
        <v>62</v>
      </c>
      <c r="H7" s="6" t="s">
        <v>56</v>
      </c>
      <c r="I7" s="6" t="s">
        <v>41</v>
      </c>
      <c r="J7" s="6" t="s">
        <v>63</v>
      </c>
      <c r="K7" s="6" t="s">
        <v>28</v>
      </c>
    </row>
    <row r="8" customFormat="false" ht="27.75" hidden="false" customHeight="true" outlineLevel="0" collapsed="false">
      <c r="A8" s="6" t="n">
        <v>7</v>
      </c>
      <c r="B8" s="6" t="s">
        <v>19</v>
      </c>
      <c r="C8" s="6" t="s">
        <v>64</v>
      </c>
      <c r="D8" s="6" t="s">
        <v>65</v>
      </c>
      <c r="E8" s="6" t="s">
        <v>66</v>
      </c>
      <c r="F8" s="6" t="s">
        <v>67</v>
      </c>
      <c r="G8" s="6" t="s">
        <v>68</v>
      </c>
      <c r="H8" s="6" t="s">
        <v>56</v>
      </c>
      <c r="I8" s="6" t="s">
        <v>41</v>
      </c>
      <c r="J8" s="6" t="s">
        <v>69</v>
      </c>
      <c r="K8" s="6" t="s">
        <v>28</v>
      </c>
    </row>
    <row r="9" customFormat="false" ht="27.75" hidden="false" customHeight="true" outlineLevel="0" collapsed="false">
      <c r="A9" s="6" t="n">
        <v>8</v>
      </c>
      <c r="B9" s="6" t="s">
        <v>19</v>
      </c>
      <c r="C9" s="6" t="s">
        <v>70</v>
      </c>
      <c r="D9" s="6" t="s">
        <v>71</v>
      </c>
      <c r="E9" s="6" t="s">
        <v>72</v>
      </c>
      <c r="F9" s="6" t="s">
        <v>73</v>
      </c>
      <c r="G9" s="6" t="s">
        <v>74</v>
      </c>
      <c r="H9" s="6" t="s">
        <v>56</v>
      </c>
      <c r="I9" s="6" t="s">
        <v>41</v>
      </c>
      <c r="J9" s="6" t="s">
        <v>75</v>
      </c>
      <c r="K9" s="6" t="s">
        <v>28</v>
      </c>
    </row>
    <row r="10" customFormat="false" ht="27.75" hidden="false" customHeight="true" outlineLevel="0" collapsed="false">
      <c r="A10" s="6" t="n">
        <v>9</v>
      </c>
      <c r="B10" s="6" t="s">
        <v>19</v>
      </c>
      <c r="C10" s="6" t="s">
        <v>76</v>
      </c>
      <c r="D10" s="6" t="s">
        <v>77</v>
      </c>
      <c r="E10" s="6" t="s">
        <v>78</v>
      </c>
      <c r="F10" s="6" t="s">
        <v>79</v>
      </c>
      <c r="G10" s="6" t="s">
        <v>80</v>
      </c>
      <c r="H10" s="6" t="s">
        <v>81</v>
      </c>
      <c r="I10" s="6" t="s">
        <v>41</v>
      </c>
      <c r="J10" s="6" t="s">
        <v>82</v>
      </c>
      <c r="K10" s="6" t="s">
        <v>28</v>
      </c>
    </row>
    <row r="11" customFormat="false" ht="27.75" hidden="false" customHeight="true" outlineLevel="0" collapsed="false">
      <c r="A11" s="6" t="n">
        <v>10</v>
      </c>
      <c r="B11" s="6" t="s">
        <v>19</v>
      </c>
      <c r="C11" s="6" t="s">
        <v>83</v>
      </c>
      <c r="D11" s="6" t="s">
        <v>84</v>
      </c>
      <c r="E11" s="6" t="s">
        <v>85</v>
      </c>
      <c r="F11" s="6" t="s">
        <v>86</v>
      </c>
      <c r="G11" s="6" t="s">
        <v>87</v>
      </c>
      <c r="H11" s="6" t="s">
        <v>56</v>
      </c>
      <c r="I11" s="6" t="s">
        <v>57</v>
      </c>
      <c r="J11" s="6"/>
      <c r="K11" s="6" t="s">
        <v>28</v>
      </c>
    </row>
    <row r="12" customFormat="false" ht="27.75" hidden="false" customHeight="true" outlineLevel="0" collapsed="false">
      <c r="A12" s="6" t="n">
        <v>11</v>
      </c>
      <c r="B12" s="6" t="s">
        <v>19</v>
      </c>
      <c r="C12" s="6" t="s">
        <v>88</v>
      </c>
      <c r="D12" s="6" t="s">
        <v>89</v>
      </c>
      <c r="E12" s="6" t="s">
        <v>90</v>
      </c>
      <c r="F12" s="6" t="s">
        <v>91</v>
      </c>
      <c r="G12" s="6" t="s">
        <v>92</v>
      </c>
      <c r="H12" s="6" t="s">
        <v>34</v>
      </c>
      <c r="I12" s="6" t="s">
        <v>41</v>
      </c>
      <c r="J12" s="6" t="s">
        <v>93</v>
      </c>
      <c r="K12" s="6" t="s">
        <v>43</v>
      </c>
    </row>
    <row r="13" customFormat="false" ht="27.75" hidden="false" customHeight="true" outlineLevel="0" collapsed="false">
      <c r="A13" s="6" t="n">
        <v>12</v>
      </c>
      <c r="B13" s="6" t="s">
        <v>19</v>
      </c>
      <c r="C13" s="6" t="s">
        <v>94</v>
      </c>
      <c r="D13" s="6" t="s">
        <v>95</v>
      </c>
      <c r="E13" s="6" t="s">
        <v>96</v>
      </c>
      <c r="F13" s="6" t="s">
        <v>97</v>
      </c>
      <c r="G13" s="6" t="s">
        <v>98</v>
      </c>
      <c r="H13" s="6" t="s">
        <v>25</v>
      </c>
      <c r="I13" s="6" t="s">
        <v>41</v>
      </c>
      <c r="J13" s="6" t="s">
        <v>99</v>
      </c>
      <c r="K13" s="6" t="s">
        <v>28</v>
      </c>
    </row>
    <row r="14" customFormat="false" ht="15" hidden="false" customHeight="true" outlineLevel="0" collapsed="false">
      <c r="A14" s="6" t="n">
        <v>13</v>
      </c>
      <c r="B14" s="6" t="s">
        <v>19</v>
      </c>
      <c r="C14" s="6" t="s">
        <v>100</v>
      </c>
      <c r="D14" s="6" t="s">
        <v>101</v>
      </c>
      <c r="E14" s="6" t="s">
        <v>102</v>
      </c>
      <c r="F14" s="6" t="s">
        <v>103</v>
      </c>
      <c r="G14" s="6" t="s">
        <v>104</v>
      </c>
      <c r="H14" s="6" t="s">
        <v>105</v>
      </c>
      <c r="I14" s="6" t="s">
        <v>41</v>
      </c>
      <c r="J14" s="6" t="s">
        <v>106</v>
      </c>
      <c r="K14" s="6" t="s">
        <v>28</v>
      </c>
    </row>
    <row r="15" customFormat="false" ht="15" hidden="false" customHeight="true" outlineLevel="0" collapsed="false">
      <c r="A15" s="6" t="n">
        <v>14</v>
      </c>
      <c r="B15" s="6" t="s">
        <v>19</v>
      </c>
      <c r="C15" s="6" t="s">
        <v>107</v>
      </c>
      <c r="D15" s="6" t="s">
        <v>108</v>
      </c>
      <c r="E15" s="6" t="s">
        <v>109</v>
      </c>
      <c r="F15" s="6" t="s">
        <v>110</v>
      </c>
      <c r="G15" s="6" t="s">
        <v>111</v>
      </c>
      <c r="H15" s="6" t="s">
        <v>56</v>
      </c>
      <c r="I15" s="6" t="s">
        <v>41</v>
      </c>
      <c r="J15" s="6" t="s">
        <v>112</v>
      </c>
      <c r="K15" s="6" t="s">
        <v>28</v>
      </c>
    </row>
    <row r="16" customFormat="false" ht="15" hidden="false" customHeight="true" outlineLevel="0" collapsed="false">
      <c r="A16" s="6" t="n">
        <v>15</v>
      </c>
      <c r="B16" s="6" t="s">
        <v>19</v>
      </c>
      <c r="C16" s="6" t="s">
        <v>113</v>
      </c>
      <c r="D16" s="6" t="s">
        <v>114</v>
      </c>
      <c r="E16" s="6" t="s">
        <v>115</v>
      </c>
      <c r="F16" s="6" t="s">
        <v>116</v>
      </c>
      <c r="G16" s="6" t="s">
        <v>117</v>
      </c>
      <c r="H16" s="6" t="s">
        <v>56</v>
      </c>
      <c r="I16" s="6" t="s">
        <v>57</v>
      </c>
      <c r="J16" s="6"/>
      <c r="K16" s="6" t="s">
        <v>28</v>
      </c>
    </row>
    <row r="17" customFormat="false" ht="27.75" hidden="false" customHeight="true" outlineLevel="0" collapsed="false">
      <c r="A17" s="6" t="n">
        <v>16</v>
      </c>
      <c r="B17" s="6" t="s">
        <v>19</v>
      </c>
      <c r="C17" s="6" t="s">
        <v>118</v>
      </c>
      <c r="D17" s="6" t="s">
        <v>119</v>
      </c>
      <c r="E17" s="6" t="s">
        <v>120</v>
      </c>
      <c r="F17" s="6" t="s">
        <v>121</v>
      </c>
      <c r="G17" s="6" t="s">
        <v>122</v>
      </c>
      <c r="H17" s="6" t="s">
        <v>56</v>
      </c>
      <c r="I17" s="6" t="s">
        <v>41</v>
      </c>
      <c r="J17" s="6" t="s">
        <v>123</v>
      </c>
      <c r="K17" s="6" t="s">
        <v>43</v>
      </c>
    </row>
    <row r="18" customFormat="false" ht="27.75" hidden="false" customHeight="true" outlineLevel="0" collapsed="false">
      <c r="A18" s="6" t="n">
        <v>17</v>
      </c>
      <c r="B18" s="6" t="s">
        <v>19</v>
      </c>
      <c r="C18" s="6" t="s">
        <v>124</v>
      </c>
      <c r="D18" s="6" t="s">
        <v>125</v>
      </c>
      <c r="E18" s="6" t="s">
        <v>126</v>
      </c>
      <c r="F18" s="6" t="s">
        <v>127</v>
      </c>
      <c r="G18" s="6" t="s">
        <v>128</v>
      </c>
      <c r="H18" s="6" t="s">
        <v>25</v>
      </c>
      <c r="I18" s="6" t="s">
        <v>41</v>
      </c>
      <c r="J18" s="6" t="s">
        <v>129</v>
      </c>
      <c r="K18" s="6" t="s">
        <v>28</v>
      </c>
    </row>
    <row r="19" customFormat="false" ht="15" hidden="false" customHeight="true" outlineLevel="0" collapsed="false">
      <c r="A19" s="6" t="n">
        <v>18</v>
      </c>
      <c r="B19" s="6" t="s">
        <v>19</v>
      </c>
      <c r="C19" s="6" t="s">
        <v>130</v>
      </c>
      <c r="D19" s="6" t="s">
        <v>131</v>
      </c>
      <c r="E19" s="6" t="s">
        <v>132</v>
      </c>
      <c r="F19" s="6" t="s">
        <v>133</v>
      </c>
      <c r="G19" s="6" t="s">
        <v>134</v>
      </c>
      <c r="H19" s="6" t="s">
        <v>56</v>
      </c>
      <c r="I19" s="6" t="s">
        <v>49</v>
      </c>
      <c r="J19" s="6" t="s">
        <v>135</v>
      </c>
      <c r="K19" s="6" t="s">
        <v>43</v>
      </c>
    </row>
    <row r="20" customFormat="false" ht="15" hidden="false" customHeight="true" outlineLevel="0" collapsed="false">
      <c r="A20" s="6" t="n">
        <v>19</v>
      </c>
      <c r="B20" s="6" t="s">
        <v>19</v>
      </c>
      <c r="C20" s="6" t="s">
        <v>136</v>
      </c>
      <c r="D20" s="6" t="s">
        <v>137</v>
      </c>
      <c r="E20" s="6" t="s">
        <v>138</v>
      </c>
      <c r="F20" s="6"/>
      <c r="G20" s="6" t="s">
        <v>139</v>
      </c>
      <c r="H20" s="6" t="s">
        <v>25</v>
      </c>
      <c r="I20" s="6" t="s">
        <v>140</v>
      </c>
      <c r="J20" s="6" t="s">
        <v>141</v>
      </c>
      <c r="K20" s="6" t="s">
        <v>28</v>
      </c>
    </row>
    <row r="21" customFormat="false" ht="27.75" hidden="false" customHeight="true" outlineLevel="0" collapsed="false">
      <c r="A21" s="6" t="n">
        <v>20</v>
      </c>
      <c r="B21" s="6" t="s">
        <v>19</v>
      </c>
      <c r="C21" s="6" t="s">
        <v>142</v>
      </c>
      <c r="D21" s="6" t="s">
        <v>143</v>
      </c>
      <c r="E21" s="6" t="s">
        <v>144</v>
      </c>
      <c r="F21" s="6"/>
      <c r="G21" s="6" t="s">
        <v>145</v>
      </c>
      <c r="H21" s="6" t="s">
        <v>25</v>
      </c>
      <c r="I21" s="6" t="s">
        <v>41</v>
      </c>
      <c r="J21" s="6"/>
      <c r="K21" s="6" t="s">
        <v>28</v>
      </c>
    </row>
    <row r="22" customFormat="false" ht="27.75" hidden="false" customHeight="true" outlineLevel="0" collapsed="false">
      <c r="A22" s="7" t="n">
        <v>21</v>
      </c>
      <c r="B22" s="7" t="s">
        <v>19</v>
      </c>
      <c r="C22" s="7" t="s">
        <v>146</v>
      </c>
      <c r="D22" s="7" t="s">
        <v>147</v>
      </c>
      <c r="E22" s="6" t="s">
        <v>148</v>
      </c>
      <c r="F22" s="6" t="s">
        <v>149</v>
      </c>
      <c r="G22" s="6" t="s">
        <v>150</v>
      </c>
      <c r="H22" s="6" t="s">
        <v>81</v>
      </c>
      <c r="I22" s="6" t="s">
        <v>26</v>
      </c>
      <c r="J22" s="6"/>
      <c r="K22" s="6" t="s">
        <v>28</v>
      </c>
    </row>
    <row r="23" customFormat="false" ht="27.75" hidden="false" customHeight="true" outlineLevel="0" collapsed="false">
      <c r="A23" s="7" t="n">
        <v>22</v>
      </c>
      <c r="B23" s="7" t="s">
        <v>19</v>
      </c>
      <c r="C23" s="7" t="s">
        <v>146</v>
      </c>
      <c r="D23" s="7" t="s">
        <v>151</v>
      </c>
      <c r="E23" s="6" t="s">
        <v>152</v>
      </c>
      <c r="F23" s="6" t="s">
        <v>153</v>
      </c>
      <c r="G23" s="6" t="s">
        <v>154</v>
      </c>
      <c r="H23" s="6" t="s">
        <v>81</v>
      </c>
      <c r="I23" s="6" t="s">
        <v>57</v>
      </c>
      <c r="J23" s="6" t="s">
        <v>155</v>
      </c>
      <c r="K23" s="6" t="s">
        <v>28</v>
      </c>
    </row>
    <row r="24" customFormat="false" ht="27.75" hidden="false" customHeight="true" outlineLevel="0" collapsed="false">
      <c r="A24" s="7" t="n">
        <v>23</v>
      </c>
      <c r="B24" s="7" t="s">
        <v>19</v>
      </c>
      <c r="C24" s="7" t="s">
        <v>146</v>
      </c>
      <c r="D24" s="7" t="s">
        <v>156</v>
      </c>
      <c r="E24" s="6" t="s">
        <v>157</v>
      </c>
      <c r="F24" s="6" t="s">
        <v>158</v>
      </c>
      <c r="G24" s="6" t="s">
        <v>159</v>
      </c>
      <c r="H24" s="6" t="s">
        <v>81</v>
      </c>
      <c r="I24" s="6" t="s">
        <v>26</v>
      </c>
      <c r="J24" s="6"/>
      <c r="K24" s="6" t="s">
        <v>28</v>
      </c>
    </row>
    <row r="25" customFormat="false" ht="27.75" hidden="false" customHeight="true" outlineLevel="0" collapsed="false">
      <c r="A25" s="7" t="n">
        <v>24</v>
      </c>
      <c r="B25" s="7" t="s">
        <v>19</v>
      </c>
      <c r="C25" s="7" t="s">
        <v>146</v>
      </c>
      <c r="D25" s="7" t="s">
        <v>160</v>
      </c>
      <c r="E25" s="6" t="s">
        <v>161</v>
      </c>
      <c r="F25" s="6" t="s">
        <v>162</v>
      </c>
      <c r="G25" s="6" t="s">
        <v>163</v>
      </c>
      <c r="H25" s="6" t="s">
        <v>81</v>
      </c>
      <c r="I25" s="6" t="s">
        <v>140</v>
      </c>
      <c r="J25" s="6"/>
      <c r="K25" s="6" t="s">
        <v>28</v>
      </c>
    </row>
    <row r="26" customFormat="false" ht="41.25" hidden="false" customHeight="true" outlineLevel="0" collapsed="false">
      <c r="A26" s="7" t="n">
        <v>25</v>
      </c>
      <c r="B26" s="7" t="s">
        <v>19</v>
      </c>
      <c r="C26" s="7" t="s">
        <v>146</v>
      </c>
      <c r="D26" s="7" t="s">
        <v>164</v>
      </c>
      <c r="E26" s="6" t="s">
        <v>165</v>
      </c>
      <c r="F26" s="6" t="s">
        <v>166</v>
      </c>
      <c r="G26" s="6" t="s">
        <v>167</v>
      </c>
      <c r="H26" s="6" t="s">
        <v>81</v>
      </c>
      <c r="I26" s="6" t="s">
        <v>41</v>
      </c>
      <c r="J26" s="6" t="s">
        <v>168</v>
      </c>
      <c r="K26" s="6" t="s">
        <v>43</v>
      </c>
    </row>
    <row r="27" customFormat="false" ht="27.75" hidden="false" customHeight="true" outlineLevel="0" collapsed="false">
      <c r="A27" s="7" t="n">
        <v>26</v>
      </c>
      <c r="B27" s="7" t="s">
        <v>19</v>
      </c>
      <c r="C27" s="7" t="s">
        <v>146</v>
      </c>
      <c r="D27" s="7" t="s">
        <v>169</v>
      </c>
      <c r="E27" s="6" t="s">
        <v>170</v>
      </c>
      <c r="F27" s="6" t="s">
        <v>171</v>
      </c>
      <c r="G27" s="6" t="s">
        <v>172</v>
      </c>
      <c r="H27" s="6" t="s">
        <v>173</v>
      </c>
      <c r="I27" s="6" t="s">
        <v>49</v>
      </c>
      <c r="J27" s="6" t="s">
        <v>174</v>
      </c>
      <c r="K27" s="6" t="s">
        <v>43</v>
      </c>
    </row>
    <row r="28" customFormat="false" ht="41.25" hidden="false" customHeight="true" outlineLevel="0" collapsed="false">
      <c r="A28" s="7" t="n">
        <v>27</v>
      </c>
      <c r="B28" s="7" t="s">
        <v>19</v>
      </c>
      <c r="C28" s="7" t="s">
        <v>146</v>
      </c>
      <c r="D28" s="7" t="s">
        <v>175</v>
      </c>
      <c r="E28" s="6" t="s">
        <v>176</v>
      </c>
      <c r="F28" s="6" t="s">
        <v>177</v>
      </c>
      <c r="G28" s="6" t="s">
        <v>178</v>
      </c>
      <c r="H28" s="6" t="s">
        <v>81</v>
      </c>
      <c r="I28" s="6" t="s">
        <v>49</v>
      </c>
      <c r="J28" s="6" t="s">
        <v>179</v>
      </c>
      <c r="K28" s="6" t="s">
        <v>180</v>
      </c>
    </row>
    <row r="29" customFormat="false" ht="54.75" hidden="false" customHeight="true" outlineLevel="0" collapsed="false">
      <c r="A29" s="7" t="n">
        <v>28</v>
      </c>
      <c r="B29" s="7" t="s">
        <v>19</v>
      </c>
      <c r="C29" s="7" t="s">
        <v>181</v>
      </c>
      <c r="D29" s="7" t="s">
        <v>182</v>
      </c>
      <c r="E29" s="6" t="s">
        <v>183</v>
      </c>
      <c r="F29" s="6" t="s">
        <v>184</v>
      </c>
      <c r="G29" s="6" t="s">
        <v>185</v>
      </c>
      <c r="H29" s="6" t="s">
        <v>81</v>
      </c>
      <c r="I29" s="6" t="s">
        <v>49</v>
      </c>
      <c r="J29" s="6" t="s">
        <v>186</v>
      </c>
      <c r="K29" s="6" t="s">
        <v>43</v>
      </c>
    </row>
    <row r="30" customFormat="false" ht="54.75" hidden="false" customHeight="true" outlineLevel="0" collapsed="false">
      <c r="A30" s="7" t="n">
        <v>29</v>
      </c>
      <c r="B30" s="7" t="s">
        <v>19</v>
      </c>
      <c r="C30" s="7" t="s">
        <v>181</v>
      </c>
      <c r="D30" s="7" t="s">
        <v>187</v>
      </c>
      <c r="E30" s="6" t="s">
        <v>188</v>
      </c>
      <c r="F30" s="6" t="s">
        <v>189</v>
      </c>
      <c r="G30" s="6" t="s">
        <v>190</v>
      </c>
      <c r="H30" s="6" t="s">
        <v>81</v>
      </c>
      <c r="I30" s="6" t="s">
        <v>41</v>
      </c>
      <c r="J30" s="6" t="s">
        <v>191</v>
      </c>
      <c r="K30" s="6" t="s">
        <v>28</v>
      </c>
    </row>
    <row r="31" customFormat="false" ht="41.25" hidden="false" customHeight="true" outlineLevel="0" collapsed="false">
      <c r="A31" s="7" t="n">
        <v>30</v>
      </c>
      <c r="B31" s="7" t="s">
        <v>19</v>
      </c>
      <c r="C31" s="7" t="s">
        <v>181</v>
      </c>
      <c r="D31" s="7" t="s">
        <v>192</v>
      </c>
      <c r="E31" s="6" t="s">
        <v>193</v>
      </c>
      <c r="F31" s="6" t="s">
        <v>194</v>
      </c>
      <c r="G31" s="6" t="s">
        <v>195</v>
      </c>
      <c r="H31" s="6" t="s">
        <v>196</v>
      </c>
      <c r="I31" s="6" t="s">
        <v>49</v>
      </c>
      <c r="J31" s="6" t="s">
        <v>197</v>
      </c>
      <c r="K31" s="6" t="s">
        <v>43</v>
      </c>
    </row>
    <row r="32" customFormat="false" ht="27.75" hidden="false" customHeight="true" outlineLevel="0" collapsed="false">
      <c r="A32" s="7" t="n">
        <v>31</v>
      </c>
      <c r="B32" s="7" t="s">
        <v>19</v>
      </c>
      <c r="C32" s="7" t="s">
        <v>181</v>
      </c>
      <c r="D32" s="7" t="s">
        <v>198</v>
      </c>
      <c r="E32" s="6" t="s">
        <v>199</v>
      </c>
      <c r="F32" s="6" t="s">
        <v>200</v>
      </c>
      <c r="G32" s="6" t="s">
        <v>201</v>
      </c>
      <c r="H32" s="6" t="s">
        <v>196</v>
      </c>
      <c r="I32" s="6" t="s">
        <v>49</v>
      </c>
      <c r="J32" s="6" t="s">
        <v>202</v>
      </c>
      <c r="K32" s="6" t="s">
        <v>43</v>
      </c>
    </row>
    <row r="33" customFormat="false" ht="27.75" hidden="false" customHeight="true" outlineLevel="0" collapsed="false">
      <c r="A33" s="7" t="n">
        <v>32</v>
      </c>
      <c r="B33" s="7" t="s">
        <v>19</v>
      </c>
      <c r="C33" s="7" t="s">
        <v>203</v>
      </c>
      <c r="D33" s="7" t="s">
        <v>204</v>
      </c>
      <c r="E33" s="6" t="s">
        <v>205</v>
      </c>
      <c r="F33" s="6" t="s">
        <v>206</v>
      </c>
      <c r="G33" s="6" t="s">
        <v>207</v>
      </c>
      <c r="H33" s="6" t="s">
        <v>173</v>
      </c>
      <c r="I33" s="6" t="s">
        <v>41</v>
      </c>
      <c r="J33" s="6" t="s">
        <v>208</v>
      </c>
      <c r="K33" s="6" t="s">
        <v>28</v>
      </c>
    </row>
    <row r="34" customFormat="false" ht="27.75" hidden="false" customHeight="true" outlineLevel="0" collapsed="false">
      <c r="A34" s="7" t="n">
        <v>33</v>
      </c>
      <c r="B34" s="7" t="s">
        <v>19</v>
      </c>
      <c r="C34" s="7" t="s">
        <v>203</v>
      </c>
      <c r="D34" s="7" t="s">
        <v>209</v>
      </c>
      <c r="E34" s="6" t="s">
        <v>210</v>
      </c>
      <c r="F34" s="6" t="s">
        <v>211</v>
      </c>
      <c r="G34" s="6" t="s">
        <v>212</v>
      </c>
      <c r="H34" s="6" t="s">
        <v>213</v>
      </c>
      <c r="I34" s="6" t="s">
        <v>49</v>
      </c>
      <c r="J34" s="6" t="s">
        <v>214</v>
      </c>
      <c r="K34" s="6" t="s">
        <v>43</v>
      </c>
    </row>
    <row r="35" customFormat="false" ht="27.75" hidden="false" customHeight="true" outlineLevel="0" collapsed="false">
      <c r="A35" s="7" t="n">
        <v>34</v>
      </c>
      <c r="B35" s="7" t="s">
        <v>19</v>
      </c>
      <c r="C35" s="7" t="s">
        <v>203</v>
      </c>
      <c r="D35" s="7" t="s">
        <v>215</v>
      </c>
      <c r="E35" s="6" t="s">
        <v>216</v>
      </c>
      <c r="F35" s="6"/>
      <c r="G35" s="6" t="s">
        <v>217</v>
      </c>
      <c r="H35" s="6" t="s">
        <v>81</v>
      </c>
      <c r="I35" s="6" t="s">
        <v>57</v>
      </c>
      <c r="J35" s="6"/>
      <c r="K35" s="6" t="s">
        <v>28</v>
      </c>
    </row>
    <row r="36" customFormat="false" ht="41.25" hidden="false" customHeight="true" outlineLevel="0" collapsed="false">
      <c r="A36" s="7" t="n">
        <v>35</v>
      </c>
      <c r="B36" s="7" t="s">
        <v>19</v>
      </c>
      <c r="C36" s="7" t="s">
        <v>203</v>
      </c>
      <c r="D36" s="7" t="s">
        <v>218</v>
      </c>
      <c r="E36" s="6" t="s">
        <v>219</v>
      </c>
      <c r="F36" s="6"/>
      <c r="G36" s="6" t="s">
        <v>220</v>
      </c>
      <c r="H36" s="6" t="s">
        <v>34</v>
      </c>
      <c r="I36" s="6" t="s">
        <v>49</v>
      </c>
      <c r="J36" s="6" t="s">
        <v>221</v>
      </c>
      <c r="K36" s="6" t="s">
        <v>43</v>
      </c>
    </row>
    <row r="37" customFormat="false" ht="27.75" hidden="false" customHeight="true" outlineLevel="0" collapsed="false">
      <c r="A37" s="7" t="n">
        <v>36</v>
      </c>
      <c r="B37" s="7" t="s">
        <v>19</v>
      </c>
      <c r="C37" s="7" t="s">
        <v>203</v>
      </c>
      <c r="D37" s="7" t="s">
        <v>222</v>
      </c>
      <c r="E37" s="6" t="s">
        <v>223</v>
      </c>
      <c r="F37" s="6"/>
      <c r="G37" s="6" t="s">
        <v>224</v>
      </c>
      <c r="H37" s="6" t="s">
        <v>81</v>
      </c>
      <c r="I37" s="6" t="s">
        <v>57</v>
      </c>
      <c r="J37" s="6" t="s">
        <v>225</v>
      </c>
      <c r="K37" s="6" t="s">
        <v>180</v>
      </c>
    </row>
    <row r="38" customFormat="false" ht="27.75" hidden="false" customHeight="true" outlineLevel="0" collapsed="false">
      <c r="A38" s="7" t="n">
        <v>37</v>
      </c>
      <c r="B38" s="7" t="s">
        <v>226</v>
      </c>
      <c r="C38" s="7" t="s">
        <v>227</v>
      </c>
      <c r="D38" s="7" t="s">
        <v>228</v>
      </c>
      <c r="E38" s="6" t="s">
        <v>229</v>
      </c>
      <c r="F38" s="6" t="s">
        <v>230</v>
      </c>
      <c r="G38" s="6" t="s">
        <v>231</v>
      </c>
      <c r="H38" s="6" t="s">
        <v>81</v>
      </c>
      <c r="I38" s="6" t="s">
        <v>57</v>
      </c>
      <c r="J38" s="6"/>
      <c r="K38" s="6" t="s">
        <v>232</v>
      </c>
    </row>
    <row r="39" customFormat="false" ht="41.25" hidden="false" customHeight="true" outlineLevel="0" collapsed="false">
      <c r="A39" s="7" t="n">
        <v>38</v>
      </c>
      <c r="B39" s="7" t="s">
        <v>226</v>
      </c>
      <c r="C39" s="7" t="s">
        <v>227</v>
      </c>
      <c r="D39" s="7" t="s">
        <v>233</v>
      </c>
      <c r="E39" s="6" t="s">
        <v>234</v>
      </c>
      <c r="F39" s="6" t="s">
        <v>235</v>
      </c>
      <c r="G39" s="6" t="s">
        <v>236</v>
      </c>
      <c r="H39" s="6" t="s">
        <v>81</v>
      </c>
      <c r="I39" s="6" t="s">
        <v>26</v>
      </c>
      <c r="J39" s="6"/>
      <c r="K39" s="6" t="s">
        <v>232</v>
      </c>
    </row>
    <row r="40" customFormat="false" ht="27.75" hidden="false" customHeight="true" outlineLevel="0" collapsed="false">
      <c r="A40" s="7" t="n">
        <v>39</v>
      </c>
      <c r="B40" s="7" t="s">
        <v>226</v>
      </c>
      <c r="C40" s="7" t="s">
        <v>227</v>
      </c>
      <c r="D40" s="7" t="s">
        <v>237</v>
      </c>
      <c r="E40" s="6" t="s">
        <v>238</v>
      </c>
      <c r="F40" s="6" t="s">
        <v>239</v>
      </c>
      <c r="G40" s="6" t="s">
        <v>240</v>
      </c>
      <c r="H40" s="6" t="s">
        <v>173</v>
      </c>
      <c r="I40" s="6" t="s">
        <v>57</v>
      </c>
      <c r="J40" s="6" t="s">
        <v>241</v>
      </c>
      <c r="K40" s="6" t="s">
        <v>43</v>
      </c>
    </row>
    <row r="41" customFormat="false" ht="27.75" hidden="false" customHeight="true" outlineLevel="0" collapsed="false">
      <c r="A41" s="7" t="n">
        <v>40</v>
      </c>
      <c r="B41" s="7" t="s">
        <v>226</v>
      </c>
      <c r="C41" s="7" t="s">
        <v>227</v>
      </c>
      <c r="D41" s="7" t="s">
        <v>242</v>
      </c>
      <c r="E41" s="6" t="s">
        <v>243</v>
      </c>
      <c r="F41" s="6"/>
      <c r="G41" s="6" t="s">
        <v>244</v>
      </c>
      <c r="H41" s="6" t="s">
        <v>196</v>
      </c>
      <c r="I41" s="6" t="s">
        <v>49</v>
      </c>
      <c r="J41" s="6" t="s">
        <v>245</v>
      </c>
      <c r="K41" s="6" t="s">
        <v>246</v>
      </c>
    </row>
    <row r="42" customFormat="false" ht="27.75" hidden="false" customHeight="true" outlineLevel="0" collapsed="false">
      <c r="A42" s="7" t="n">
        <v>41</v>
      </c>
      <c r="B42" s="7" t="s">
        <v>226</v>
      </c>
      <c r="C42" s="7" t="s">
        <v>227</v>
      </c>
      <c r="D42" s="7" t="s">
        <v>247</v>
      </c>
      <c r="E42" s="6" t="s">
        <v>248</v>
      </c>
      <c r="F42" s="6"/>
      <c r="G42" s="6" t="s">
        <v>249</v>
      </c>
      <c r="H42" s="6" t="s">
        <v>56</v>
      </c>
      <c r="I42" s="6" t="s">
        <v>26</v>
      </c>
      <c r="J42" s="6"/>
      <c r="K42" s="6" t="s">
        <v>232</v>
      </c>
    </row>
    <row r="43" customFormat="false" ht="27.75" hidden="false" customHeight="true" outlineLevel="0" collapsed="false">
      <c r="A43" s="7" t="n">
        <v>42</v>
      </c>
      <c r="B43" s="7" t="s">
        <v>226</v>
      </c>
      <c r="C43" s="7" t="s">
        <v>227</v>
      </c>
      <c r="D43" s="7" t="s">
        <v>250</v>
      </c>
      <c r="E43" s="6" t="s">
        <v>251</v>
      </c>
      <c r="F43" s="6"/>
      <c r="G43" s="6" t="s">
        <v>252</v>
      </c>
      <c r="H43" s="6" t="s">
        <v>56</v>
      </c>
      <c r="I43" s="6" t="s">
        <v>57</v>
      </c>
      <c r="J43" s="6" t="s">
        <v>253</v>
      </c>
      <c r="K43" s="6" t="s">
        <v>28</v>
      </c>
    </row>
    <row r="44" customFormat="false" ht="27.75" hidden="false" customHeight="true" outlineLevel="0" collapsed="false">
      <c r="A44" s="7" t="n">
        <v>43</v>
      </c>
      <c r="B44" s="7" t="s">
        <v>226</v>
      </c>
      <c r="C44" s="7" t="s">
        <v>227</v>
      </c>
      <c r="D44" s="7" t="s">
        <v>254</v>
      </c>
      <c r="E44" s="6" t="s">
        <v>255</v>
      </c>
      <c r="F44" s="6"/>
      <c r="G44" s="6" t="s">
        <v>256</v>
      </c>
      <c r="H44" s="6" t="s">
        <v>81</v>
      </c>
      <c r="I44" s="6" t="s">
        <v>41</v>
      </c>
      <c r="J44" s="6" t="s">
        <v>257</v>
      </c>
      <c r="K44" s="6" t="s">
        <v>246</v>
      </c>
    </row>
    <row r="45" customFormat="false" ht="27.75" hidden="false" customHeight="true" outlineLevel="0" collapsed="false">
      <c r="A45" s="7" t="n">
        <v>44</v>
      </c>
      <c r="B45" s="7" t="s">
        <v>19</v>
      </c>
      <c r="C45" s="7" t="s">
        <v>258</v>
      </c>
      <c r="D45" s="7" t="s">
        <v>259</v>
      </c>
      <c r="E45" s="6" t="s">
        <v>260</v>
      </c>
      <c r="F45" s="6"/>
      <c r="G45" s="6" t="s">
        <v>261</v>
      </c>
      <c r="H45" s="6" t="s">
        <v>25</v>
      </c>
      <c r="I45" s="6" t="s">
        <v>41</v>
      </c>
      <c r="J45" s="6" t="s">
        <v>262</v>
      </c>
      <c r="K45" s="6" t="s">
        <v>28</v>
      </c>
    </row>
    <row r="46" customFormat="false" ht="41.25" hidden="false" customHeight="true" outlineLevel="0" collapsed="false">
      <c r="A46" s="7" t="n">
        <v>45</v>
      </c>
      <c r="B46" s="7" t="s">
        <v>19</v>
      </c>
      <c r="C46" s="7" t="s">
        <v>263</v>
      </c>
      <c r="D46" s="7" t="s">
        <v>264</v>
      </c>
      <c r="E46" s="6" t="s">
        <v>265</v>
      </c>
      <c r="F46" s="6" t="s">
        <v>266</v>
      </c>
      <c r="G46" s="6" t="s">
        <v>267</v>
      </c>
      <c r="H46" s="6" t="s">
        <v>196</v>
      </c>
      <c r="I46" s="6" t="s">
        <v>49</v>
      </c>
      <c r="J46" s="6" t="s">
        <v>268</v>
      </c>
      <c r="K46" s="6" t="s">
        <v>43</v>
      </c>
    </row>
    <row r="47" customFormat="false" ht="27.75" hidden="false" customHeight="true" outlineLevel="0" collapsed="false">
      <c r="A47" s="7" t="n">
        <v>46</v>
      </c>
      <c r="B47" s="7" t="s">
        <v>19</v>
      </c>
      <c r="C47" s="7" t="s">
        <v>269</v>
      </c>
      <c r="D47" s="7" t="s">
        <v>270</v>
      </c>
      <c r="E47" s="6" t="s">
        <v>271</v>
      </c>
      <c r="F47" s="6"/>
      <c r="G47" s="6" t="s">
        <v>272</v>
      </c>
      <c r="H47" s="6" t="s">
        <v>56</v>
      </c>
      <c r="I47" s="6" t="s">
        <v>41</v>
      </c>
      <c r="J47" s="6" t="s">
        <v>273</v>
      </c>
      <c r="K47" s="6" t="s">
        <v>28</v>
      </c>
    </row>
    <row r="48" customFormat="false" ht="27.75" hidden="false" customHeight="true" outlineLevel="0" collapsed="false">
      <c r="A48" s="7" t="n">
        <v>47</v>
      </c>
      <c r="B48" s="7" t="s">
        <v>19</v>
      </c>
      <c r="C48" s="7" t="s">
        <v>274</v>
      </c>
      <c r="D48" s="7" t="s">
        <v>275</v>
      </c>
      <c r="E48" s="6" t="s">
        <v>276</v>
      </c>
      <c r="F48" s="6"/>
      <c r="G48" s="6" t="s">
        <v>277</v>
      </c>
      <c r="H48" s="6" t="s">
        <v>213</v>
      </c>
      <c r="I48" s="6" t="s">
        <v>57</v>
      </c>
      <c r="J48" s="6"/>
      <c r="K48" s="6" t="s">
        <v>28</v>
      </c>
    </row>
    <row r="49" customFormat="false" ht="27.75" hidden="false" customHeight="true" outlineLevel="0" collapsed="false">
      <c r="A49" s="7" t="n">
        <v>48</v>
      </c>
      <c r="B49" s="7" t="s">
        <v>19</v>
      </c>
      <c r="C49" s="7" t="s">
        <v>278</v>
      </c>
      <c r="D49" s="7" t="s">
        <v>279</v>
      </c>
      <c r="E49" s="6" t="s">
        <v>280</v>
      </c>
      <c r="F49" s="6"/>
      <c r="G49" s="6" t="s">
        <v>281</v>
      </c>
      <c r="H49" s="6" t="s">
        <v>34</v>
      </c>
      <c r="I49" s="6" t="s">
        <v>57</v>
      </c>
      <c r="J49" s="6"/>
      <c r="K49" s="6" t="s">
        <v>28</v>
      </c>
    </row>
    <row r="50" customFormat="false" ht="27.75" hidden="false" customHeight="true" outlineLevel="0" collapsed="false">
      <c r="A50" s="7" t="n">
        <v>49</v>
      </c>
      <c r="B50" s="7" t="s">
        <v>19</v>
      </c>
      <c r="C50" s="7" t="s">
        <v>282</v>
      </c>
      <c r="D50" s="7" t="s">
        <v>283</v>
      </c>
      <c r="E50" s="6" t="s">
        <v>284</v>
      </c>
      <c r="F50" s="6" t="s">
        <v>285</v>
      </c>
      <c r="G50" s="6" t="s">
        <v>286</v>
      </c>
      <c r="H50" s="6" t="s">
        <v>287</v>
      </c>
      <c r="I50" s="6" t="s">
        <v>57</v>
      </c>
      <c r="J50" s="6"/>
      <c r="K50" s="6" t="s">
        <v>28</v>
      </c>
    </row>
    <row r="52" customFormat="false" ht="15" hidden="false" customHeight="true" outlineLevel="0" collapsed="false">
      <c r="A52" s="8" t="s">
        <v>288</v>
      </c>
    </row>
  </sheetData>
  <autoFilter ref="A1:K50"/>
  <dataValidations count="3">
    <dataValidation allowBlank="true" errorStyle="stop" operator="between" showDropDown="false" showErrorMessage="false" showInputMessage="false" sqref="B2:B50" type="list">
      <formula1>"Pre-implementation,Post-implementation"</formula1>
      <formula2>0</formula2>
    </dataValidation>
    <dataValidation allowBlank="true" errorStyle="stop" operator="between" showDropDown="false" showErrorMessage="false" showInputMessage="false" sqref="I2:I50" type="list">
      <formula1>"High,Medium,Low,No gap,Not assessed"</formula1>
      <formula2>0</formula2>
    </dataValidation>
    <dataValidation allowBlank="true" errorStyle="stop" operator="between" showDropDown="false" showErrorMessage="false" showInputMessage="false" sqref="K2:K50" type="list">
      <formula1>"Open,Awaiting client,Answered,Follow-up required,Closed,Not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4" width="34"/>
    <col collapsed="false" customWidth="true" hidden="false" outlineLevel="0" max="2" min="2" style="4" width="22"/>
    <col collapsed="false" customWidth="true" hidden="false" outlineLevel="0" max="3" min="3" style="4" width="13"/>
    <col collapsed="false" customWidth="true" hidden="false" outlineLevel="0" max="4" min="4" style="4" width="12"/>
    <col collapsed="false" customWidth="true" hidden="false" outlineLevel="0" max="5" min="5" style="4" width="11"/>
    <col collapsed="false" customWidth="true" hidden="false" outlineLevel="0" max="7" min="6" style="4" width="12"/>
    <col collapsed="false" customWidth="true" hidden="false" outlineLevel="0" max="8" min="8" style="4" width="11"/>
    <col collapsed="false" customWidth="true" hidden="false" outlineLevel="0" max="9" min="9" style="4" width="26"/>
    <col collapsed="false" customWidth="true" hidden="false" outlineLevel="0" max="10" min="10" style="4" width="18"/>
    <col collapsed="false" customWidth="true" hidden="false" outlineLevel="0" max="11" min="11" style="4" width="24"/>
    <col collapsed="false" customWidth="true" hidden="false" outlineLevel="0" max="13" min="12" style="4" width="16"/>
    <col collapsed="false" customWidth="true" hidden="false" outlineLevel="0" max="14" min="14" style="4" width="22"/>
    <col collapsed="false" customWidth="true" hidden="false" outlineLevel="0" max="15" min="15" style="4" width="11"/>
    <col collapsed="false" customWidth="true" hidden="false" outlineLevel="0" max="16" min="16" style="4" width="18"/>
    <col collapsed="false" customWidth="true" hidden="false" outlineLevel="0" max="19" min="17" style="4" width="11"/>
    <col collapsed="false" customWidth="true" hidden="false" outlineLevel="0" max="20" min="20" style="4" width="20"/>
    <col collapsed="false" customWidth="true" hidden="false" outlineLevel="0" max="21" min="21" style="4" width="13"/>
    <col collapsed="false" customWidth="true" hidden="false" outlineLevel="0" max="22" min="22" style="4" width="18"/>
    <col collapsed="false" customWidth="true" hidden="false" outlineLevel="0" max="23" min="23" style="4" width="28"/>
    <col collapsed="false" customWidth="true" hidden="false" outlineLevel="0" max="24" min="24" style="4" width="24"/>
    <col collapsed="false" customWidth="true" hidden="false" outlineLevel="0" max="25" min="25" style="4" width="13"/>
    <col collapsed="false" customWidth="true" hidden="false" outlineLevel="0" max="26" min="26" style="4" width="12"/>
    <col collapsed="false" customWidth="true" hidden="false" outlineLevel="0" max="27" min="27" style="4" width="32"/>
  </cols>
  <sheetData>
    <row r="1" customFormat="false" ht="51.75" hidden="false" customHeight="true" outlineLevel="0" collapsed="false">
      <c r="A1" s="9" t="s">
        <v>289</v>
      </c>
      <c r="B1" s="9" t="s">
        <v>290</v>
      </c>
      <c r="C1" s="9" t="s">
        <v>291</v>
      </c>
      <c r="D1" s="9" t="s">
        <v>292</v>
      </c>
      <c r="E1" s="9" t="s">
        <v>293</v>
      </c>
      <c r="F1" s="9" t="s">
        <v>294</v>
      </c>
      <c r="G1" s="9" t="s">
        <v>295</v>
      </c>
      <c r="H1" s="9" t="s">
        <v>296</v>
      </c>
      <c r="I1" s="9" t="s">
        <v>297</v>
      </c>
      <c r="J1" s="9" t="s">
        <v>298</v>
      </c>
      <c r="K1" s="9" t="s">
        <v>299</v>
      </c>
      <c r="L1" s="9" t="s">
        <v>300</v>
      </c>
      <c r="M1" s="9" t="s">
        <v>301</v>
      </c>
      <c r="N1" s="9" t="s">
        <v>302</v>
      </c>
      <c r="O1" s="9" t="s">
        <v>303</v>
      </c>
      <c r="P1" s="9" t="s">
        <v>304</v>
      </c>
      <c r="Q1" s="9" t="s">
        <v>305</v>
      </c>
      <c r="R1" s="9" t="s">
        <v>306</v>
      </c>
      <c r="S1" s="9" t="s">
        <v>307</v>
      </c>
      <c r="T1" s="9" t="s">
        <v>308</v>
      </c>
      <c r="U1" s="9" t="s">
        <v>309</v>
      </c>
      <c r="V1" s="9" t="s">
        <v>310</v>
      </c>
      <c r="W1" s="9" t="s">
        <v>311</v>
      </c>
      <c r="X1" s="9" t="s">
        <v>312</v>
      </c>
      <c r="Y1" s="9" t="s">
        <v>313</v>
      </c>
      <c r="Z1" s="9" t="s">
        <v>16</v>
      </c>
      <c r="AA1" s="9" t="s">
        <v>314</v>
      </c>
    </row>
    <row r="2" customFormat="false" ht="15" hidden="false" customHeight="true" outlineLevel="0" collapsed="false">
      <c r="A2" s="10" t="s">
        <v>315</v>
      </c>
      <c r="B2" s="11" t="s">
        <v>316</v>
      </c>
      <c r="C2" s="11" t="s">
        <v>317</v>
      </c>
      <c r="D2" s="11" t="n">
        <v>64</v>
      </c>
      <c r="E2" s="11" t="n">
        <v>58</v>
      </c>
      <c r="F2" s="11" t="n">
        <v>4</v>
      </c>
      <c r="G2" s="11" t="n">
        <f aca="false">IF(OR(D2="",E2=""),"",D2-E2-N(F2))</f>
        <v>2</v>
      </c>
      <c r="H2" s="12" t="n">
        <f aca="false">IF(OR(D2="",E2="",D2=0),"",E2/D2)</f>
        <v>0.90625</v>
      </c>
      <c r="I2" s="11" t="s">
        <v>318</v>
      </c>
      <c r="J2" s="11" t="s">
        <v>319</v>
      </c>
      <c r="K2" s="11" t="s">
        <v>320</v>
      </c>
      <c r="L2" s="11" t="s">
        <v>321</v>
      </c>
      <c r="M2" s="11" t="s">
        <v>322</v>
      </c>
      <c r="N2" s="11" t="s">
        <v>323</v>
      </c>
      <c r="O2" s="11" t="s">
        <v>324</v>
      </c>
      <c r="P2" s="11" t="s">
        <v>325</v>
      </c>
      <c r="Q2" s="11" t="s">
        <v>326</v>
      </c>
      <c r="R2" s="11" t="s">
        <v>326</v>
      </c>
      <c r="S2" s="11" t="s">
        <v>327</v>
      </c>
      <c r="T2" s="11" t="s">
        <v>328</v>
      </c>
      <c r="U2" s="11" t="s">
        <v>324</v>
      </c>
      <c r="V2" s="11" t="s">
        <v>329</v>
      </c>
      <c r="W2" s="11" t="s">
        <v>330</v>
      </c>
      <c r="X2" s="11" t="s">
        <v>331</v>
      </c>
      <c r="Y2" s="11" t="s">
        <v>49</v>
      </c>
      <c r="Z2" s="11" t="s">
        <v>57</v>
      </c>
      <c r="AA2" s="11" t="s">
        <v>332</v>
      </c>
    </row>
    <row r="3" customFormat="false" ht="15" hidden="false" customHeight="true" outlineLevel="0" collapsed="false">
      <c r="A3" s="10" t="s">
        <v>333</v>
      </c>
      <c r="B3" s="11" t="s">
        <v>316</v>
      </c>
      <c r="C3" s="11" t="s">
        <v>317</v>
      </c>
      <c r="D3" s="11" t="n">
        <v>48</v>
      </c>
      <c r="E3" s="11" t="n">
        <v>40</v>
      </c>
      <c r="F3" s="11" t="n">
        <v>2</v>
      </c>
      <c r="G3" s="11" t="n">
        <f aca="false">IF(OR(D3="",E3=""),"",D3-E3-N(F3))</f>
        <v>6</v>
      </c>
      <c r="H3" s="12" t="n">
        <f aca="false">IF(OR(D3="",E3="",D3=0),"",E3/D3)</f>
        <v>0.833333333333333</v>
      </c>
      <c r="I3" s="11" t="s">
        <v>334</v>
      </c>
      <c r="J3" s="11" t="s">
        <v>319</v>
      </c>
      <c r="K3" s="11" t="s">
        <v>320</v>
      </c>
      <c r="L3" s="11" t="s">
        <v>335</v>
      </c>
      <c r="M3" s="11" t="s">
        <v>322</v>
      </c>
      <c r="N3" s="11" t="s">
        <v>336</v>
      </c>
      <c r="O3" s="11" t="s">
        <v>337</v>
      </c>
      <c r="P3" s="11" t="s">
        <v>338</v>
      </c>
      <c r="Q3" s="11" t="s">
        <v>339</v>
      </c>
      <c r="R3" s="11" t="s">
        <v>339</v>
      </c>
      <c r="S3" s="11" t="s">
        <v>327</v>
      </c>
      <c r="T3" s="11" t="s">
        <v>340</v>
      </c>
      <c r="U3" s="11" t="s">
        <v>324</v>
      </c>
      <c r="V3" s="11" t="s">
        <v>329</v>
      </c>
      <c r="W3" s="11" t="s">
        <v>341</v>
      </c>
      <c r="X3" s="11" t="s">
        <v>342</v>
      </c>
      <c r="Y3" s="11" t="s">
        <v>49</v>
      </c>
      <c r="Z3" s="11" t="s">
        <v>41</v>
      </c>
      <c r="AA3" s="11" t="s">
        <v>343</v>
      </c>
    </row>
    <row r="4" customFormat="false" ht="15" hidden="false" customHeight="true" outlineLevel="0" collapsed="false">
      <c r="A4" s="10" t="s">
        <v>344</v>
      </c>
      <c r="B4" s="11" t="s">
        <v>345</v>
      </c>
      <c r="C4" s="11" t="s">
        <v>346</v>
      </c>
      <c r="D4" s="11" t="n">
        <v>6</v>
      </c>
      <c r="E4" s="11" t="n">
        <v>0</v>
      </c>
      <c r="F4" s="11" t="n">
        <v>6</v>
      </c>
      <c r="G4" s="11" t="n">
        <f aca="false">IF(OR(D4="",E4=""),"",D4-E4-N(F4))</f>
        <v>0</v>
      </c>
      <c r="H4" s="12" t="n">
        <f aca="false">IF(OR(D4="",E4="",D4=0),"",E4/D4)</f>
        <v>0</v>
      </c>
      <c r="I4" s="11" t="s">
        <v>347</v>
      </c>
      <c r="J4" s="11" t="s">
        <v>348</v>
      </c>
      <c r="K4" s="11"/>
      <c r="L4" s="11"/>
      <c r="M4" s="11"/>
      <c r="N4" s="11"/>
      <c r="O4" s="11" t="s">
        <v>349</v>
      </c>
      <c r="P4" s="11" t="s">
        <v>349</v>
      </c>
      <c r="Q4" s="11" t="s">
        <v>349</v>
      </c>
      <c r="R4" s="11"/>
      <c r="S4" s="11"/>
      <c r="T4" s="11"/>
      <c r="U4" s="11" t="s">
        <v>337</v>
      </c>
      <c r="V4" s="11" t="s">
        <v>329</v>
      </c>
      <c r="W4" s="11" t="s">
        <v>350</v>
      </c>
      <c r="X4" s="11" t="s">
        <v>342</v>
      </c>
      <c r="Y4" s="11" t="s">
        <v>49</v>
      </c>
      <c r="Z4" s="11" t="s">
        <v>26</v>
      </c>
      <c r="AA4" s="11"/>
    </row>
    <row r="5" customFormat="false" ht="15" hidden="false" customHeight="true" outlineLevel="0" collapsed="false">
      <c r="A5" s="10" t="s">
        <v>351</v>
      </c>
      <c r="B5" s="11" t="s">
        <v>345</v>
      </c>
      <c r="C5" s="11" t="s">
        <v>352</v>
      </c>
      <c r="D5" s="11" t="n">
        <v>12</v>
      </c>
      <c r="E5" s="11" t="n">
        <v>5</v>
      </c>
      <c r="F5" s="11" t="n">
        <v>0</v>
      </c>
      <c r="G5" s="11" t="n">
        <f aca="false">IF(OR(D5="",E5=""),"",D5-E5-N(F5))</f>
        <v>7</v>
      </c>
      <c r="H5" s="12" t="n">
        <f aca="false">IF(OR(D5="",E5="",D5=0),"",E5/D5)</f>
        <v>0.416666666666667</v>
      </c>
      <c r="I5" s="11" t="s">
        <v>353</v>
      </c>
      <c r="J5" s="11" t="s">
        <v>354</v>
      </c>
      <c r="K5" s="11" t="s">
        <v>355</v>
      </c>
      <c r="L5" s="11" t="s">
        <v>356</v>
      </c>
      <c r="M5" s="11" t="s">
        <v>357</v>
      </c>
      <c r="N5" s="11" t="s">
        <v>348</v>
      </c>
      <c r="O5" s="11" t="s">
        <v>349</v>
      </c>
      <c r="P5" s="11" t="s">
        <v>358</v>
      </c>
      <c r="Q5" s="11" t="s">
        <v>326</v>
      </c>
      <c r="R5" s="11" t="s">
        <v>326</v>
      </c>
      <c r="S5" s="11" t="s">
        <v>327</v>
      </c>
      <c r="T5" s="11" t="s">
        <v>359</v>
      </c>
      <c r="U5" s="11" t="s">
        <v>360</v>
      </c>
      <c r="V5" s="11" t="s">
        <v>329</v>
      </c>
      <c r="W5" s="11"/>
      <c r="X5" s="11" t="s">
        <v>342</v>
      </c>
      <c r="Y5" s="11" t="s">
        <v>41</v>
      </c>
      <c r="Z5" s="11" t="s">
        <v>41</v>
      </c>
      <c r="AA5" s="11" t="s">
        <v>361</v>
      </c>
    </row>
    <row r="6" customFormat="false" ht="15" hidden="false" customHeight="true" outlineLevel="0" collapsed="false">
      <c r="A6" s="10" t="s">
        <v>362</v>
      </c>
      <c r="B6" s="11" t="s">
        <v>345</v>
      </c>
      <c r="C6" s="11" t="s">
        <v>352</v>
      </c>
      <c r="D6" s="11" t="n">
        <v>8</v>
      </c>
      <c r="E6" s="11" t="n">
        <v>8</v>
      </c>
      <c r="F6" s="11" t="n">
        <v>0</v>
      </c>
      <c r="G6" s="11" t="n">
        <f aca="false">IF(OR(D6="",E6=""),"",D6-E6-N(F6))</f>
        <v>0</v>
      </c>
      <c r="H6" s="12" t="n">
        <f aca="false">IF(OR(D6="",E6="",D6=0),"",E6/D6)</f>
        <v>1</v>
      </c>
      <c r="I6" s="11" t="s">
        <v>363</v>
      </c>
      <c r="J6" s="11" t="s">
        <v>319</v>
      </c>
      <c r="K6" s="11" t="s">
        <v>364</v>
      </c>
      <c r="L6" s="11" t="s">
        <v>365</v>
      </c>
      <c r="M6" s="11" t="s">
        <v>366</v>
      </c>
      <c r="N6" s="11" t="s">
        <v>367</v>
      </c>
      <c r="O6" s="11" t="s">
        <v>337</v>
      </c>
      <c r="P6" s="11" t="s">
        <v>325</v>
      </c>
      <c r="Q6" s="11" t="s">
        <v>368</v>
      </c>
      <c r="R6" s="11" t="s">
        <v>368</v>
      </c>
      <c r="S6" s="11" t="s">
        <v>326</v>
      </c>
      <c r="T6" s="11" t="s">
        <v>369</v>
      </c>
      <c r="U6" s="11" t="s">
        <v>324</v>
      </c>
      <c r="V6" s="11" t="s">
        <v>370</v>
      </c>
      <c r="W6" s="11"/>
      <c r="X6" s="11" t="s">
        <v>371</v>
      </c>
      <c r="Y6" s="11" t="s">
        <v>49</v>
      </c>
      <c r="Z6" s="11" t="s">
        <v>57</v>
      </c>
      <c r="AA6" s="11"/>
    </row>
    <row r="7" customFormat="false" ht="15" hidden="false" customHeight="true" outlineLevel="0" collapsed="false">
      <c r="A7" s="10" t="s">
        <v>372</v>
      </c>
      <c r="B7" s="11" t="s">
        <v>316</v>
      </c>
      <c r="C7" s="11" t="s">
        <v>317</v>
      </c>
      <c r="D7" s="11" t="n">
        <v>22</v>
      </c>
      <c r="E7" s="11" t="n">
        <v>22</v>
      </c>
      <c r="F7" s="11" t="n">
        <v>0</v>
      </c>
      <c r="G7" s="11" t="n">
        <f aca="false">IF(OR(D7="",E7=""),"",D7-E7-N(F7))</f>
        <v>0</v>
      </c>
      <c r="H7" s="12" t="n">
        <f aca="false">IF(OR(D7="",E7="",D7=0),"",E7/D7)</f>
        <v>1</v>
      </c>
      <c r="I7" s="11" t="s">
        <v>373</v>
      </c>
      <c r="J7" s="11" t="s">
        <v>374</v>
      </c>
      <c r="K7" s="11" t="s">
        <v>349</v>
      </c>
      <c r="L7" s="11" t="s">
        <v>375</v>
      </c>
      <c r="M7" s="11" t="s">
        <v>376</v>
      </c>
      <c r="N7" s="11" t="s">
        <v>377</v>
      </c>
      <c r="O7" s="11" t="s">
        <v>349</v>
      </c>
      <c r="P7" s="11" t="s">
        <v>349</v>
      </c>
      <c r="Q7" s="11" t="s">
        <v>368</v>
      </c>
      <c r="R7" s="11" t="s">
        <v>378</v>
      </c>
      <c r="S7" s="11" t="s">
        <v>379</v>
      </c>
      <c r="T7" s="11" t="s">
        <v>359</v>
      </c>
      <c r="U7" s="11" t="s">
        <v>360</v>
      </c>
      <c r="V7" s="11" t="s">
        <v>380</v>
      </c>
      <c r="W7" s="11"/>
      <c r="X7" s="11" t="s">
        <v>381</v>
      </c>
      <c r="Y7" s="11" t="s">
        <v>49</v>
      </c>
      <c r="Z7" s="11" t="s">
        <v>41</v>
      </c>
      <c r="AA7" s="11" t="s">
        <v>382</v>
      </c>
    </row>
    <row r="8" customFormat="false" ht="15" hidden="false" customHeight="true" outlineLevel="0" collapsed="false">
      <c r="A8" s="10" t="s">
        <v>383</v>
      </c>
      <c r="B8" s="11" t="s">
        <v>345</v>
      </c>
      <c r="C8" s="11" t="s">
        <v>352</v>
      </c>
      <c r="D8" s="11" t="n">
        <v>2</v>
      </c>
      <c r="E8" s="11" t="n">
        <v>2</v>
      </c>
      <c r="F8" s="11" t="n">
        <v>0</v>
      </c>
      <c r="G8" s="11" t="n">
        <f aca="false">IF(OR(D8="",E8=""),"",D8-E8-N(F8))</f>
        <v>0</v>
      </c>
      <c r="H8" s="12" t="n">
        <f aca="false">IF(OR(D8="",E8="",D8=0),"",E8/D8)</f>
        <v>1</v>
      </c>
      <c r="I8" s="11" t="s">
        <v>373</v>
      </c>
      <c r="J8" s="11" t="s">
        <v>374</v>
      </c>
      <c r="K8" s="11" t="s">
        <v>349</v>
      </c>
      <c r="L8" s="11" t="s">
        <v>375</v>
      </c>
      <c r="M8" s="11" t="s">
        <v>384</v>
      </c>
      <c r="N8" s="11" t="s">
        <v>385</v>
      </c>
      <c r="O8" s="11" t="s">
        <v>349</v>
      </c>
      <c r="P8" s="11" t="s">
        <v>349</v>
      </c>
      <c r="Q8" s="11" t="s">
        <v>368</v>
      </c>
      <c r="R8" s="11" t="s">
        <v>378</v>
      </c>
      <c r="S8" s="11" t="s">
        <v>326</v>
      </c>
      <c r="T8" s="11" t="s">
        <v>386</v>
      </c>
      <c r="U8" s="11" t="s">
        <v>324</v>
      </c>
      <c r="V8" s="11" t="s">
        <v>370</v>
      </c>
      <c r="W8" s="11"/>
      <c r="X8" s="11" t="s">
        <v>381</v>
      </c>
      <c r="Y8" s="11" t="s">
        <v>49</v>
      </c>
      <c r="Z8" s="11" t="s">
        <v>57</v>
      </c>
      <c r="AA8" s="11"/>
    </row>
    <row r="9" customFormat="false" ht="15" hidden="false" customHeight="true" outlineLevel="0" collapsed="false">
      <c r="A9" s="10" t="s">
        <v>387</v>
      </c>
      <c r="B9" s="11" t="s">
        <v>316</v>
      </c>
      <c r="C9" s="11" t="s">
        <v>352</v>
      </c>
      <c r="D9" s="11" t="n">
        <v>5</v>
      </c>
      <c r="E9" s="11" t="n">
        <v>5</v>
      </c>
      <c r="F9" s="11" t="n">
        <v>0</v>
      </c>
      <c r="G9" s="11" t="n">
        <f aca="false">IF(OR(D9="",E9=""),"",D9-E9-N(F9))</f>
        <v>0</v>
      </c>
      <c r="H9" s="12" t="n">
        <f aca="false">IF(OR(D9="",E9="",D9=0),"",E9/D9)</f>
        <v>1</v>
      </c>
      <c r="I9" s="11" t="s">
        <v>388</v>
      </c>
      <c r="J9" s="11" t="s">
        <v>317</v>
      </c>
      <c r="K9" s="11" t="s">
        <v>355</v>
      </c>
      <c r="L9" s="11" t="s">
        <v>389</v>
      </c>
      <c r="M9" s="11" t="s">
        <v>390</v>
      </c>
      <c r="N9" s="11" t="s">
        <v>391</v>
      </c>
      <c r="O9" s="11" t="s">
        <v>337</v>
      </c>
      <c r="P9" s="11" t="s">
        <v>349</v>
      </c>
      <c r="Q9" s="11" t="s">
        <v>392</v>
      </c>
      <c r="R9" s="11" t="s">
        <v>393</v>
      </c>
      <c r="S9" s="11" t="s">
        <v>327</v>
      </c>
      <c r="T9" s="11" t="s">
        <v>359</v>
      </c>
      <c r="U9" s="11" t="s">
        <v>360</v>
      </c>
      <c r="V9" s="11" t="s">
        <v>380</v>
      </c>
      <c r="W9" s="11"/>
      <c r="X9" s="11" t="s">
        <v>381</v>
      </c>
      <c r="Y9" s="11" t="s">
        <v>41</v>
      </c>
      <c r="Z9" s="11" t="s">
        <v>41</v>
      </c>
      <c r="AA9" s="11" t="s">
        <v>394</v>
      </c>
    </row>
    <row r="10" customFormat="false" ht="15" hidden="false" customHeight="true" outlineLevel="0" collapsed="false">
      <c r="A10" s="10" t="s">
        <v>395</v>
      </c>
      <c r="B10" s="11" t="s">
        <v>345</v>
      </c>
      <c r="C10" s="11" t="s">
        <v>352</v>
      </c>
      <c r="D10" s="11" t="n">
        <v>3</v>
      </c>
      <c r="E10" s="11" t="n">
        <v>3</v>
      </c>
      <c r="F10" s="11" t="n">
        <v>0</v>
      </c>
      <c r="G10" s="11" t="n">
        <f aca="false">IF(OR(D10="",E10=""),"",D10-E10-N(F10))</f>
        <v>0</v>
      </c>
      <c r="H10" s="12" t="n">
        <f aca="false">IF(OR(D10="",E10="",D10=0),"",E10/D10)</f>
        <v>1</v>
      </c>
      <c r="I10" s="11" t="s">
        <v>396</v>
      </c>
      <c r="J10" s="11" t="s">
        <v>374</v>
      </c>
      <c r="K10" s="11" t="s">
        <v>349</v>
      </c>
      <c r="L10" s="11" t="s">
        <v>356</v>
      </c>
      <c r="M10" s="11" t="s">
        <v>397</v>
      </c>
      <c r="N10" s="11" t="s">
        <v>348</v>
      </c>
      <c r="O10" s="11" t="s">
        <v>349</v>
      </c>
      <c r="P10" s="11" t="s">
        <v>349</v>
      </c>
      <c r="Q10" s="11" t="s">
        <v>326</v>
      </c>
      <c r="R10" s="11" t="s">
        <v>326</v>
      </c>
      <c r="S10" s="11" t="s">
        <v>327</v>
      </c>
      <c r="T10" s="11" t="s">
        <v>359</v>
      </c>
      <c r="U10" s="11" t="s">
        <v>337</v>
      </c>
      <c r="V10" s="11" t="s">
        <v>380</v>
      </c>
      <c r="W10" s="11"/>
      <c r="X10" s="11" t="s">
        <v>381</v>
      </c>
      <c r="Y10" s="11" t="s">
        <v>41</v>
      </c>
      <c r="Z10" s="11" t="s">
        <v>41</v>
      </c>
      <c r="AA10" s="11" t="s">
        <v>398</v>
      </c>
    </row>
    <row r="11" customFormat="false" ht="15" hidden="false" customHeight="true" outlineLevel="0" collapsed="false">
      <c r="A11" s="10" t="s">
        <v>399</v>
      </c>
      <c r="B11" s="11" t="s">
        <v>316</v>
      </c>
      <c r="C11" s="11" t="s">
        <v>400</v>
      </c>
      <c r="D11" s="11" t="n">
        <v>4</v>
      </c>
      <c r="E11" s="11" t="n">
        <v>4</v>
      </c>
      <c r="F11" s="11" t="n">
        <v>0</v>
      </c>
      <c r="G11" s="11" t="n">
        <f aca="false">IF(OR(D11="",E11=""),"",D11-E11-N(F11))</f>
        <v>0</v>
      </c>
      <c r="H11" s="12" t="n">
        <f aca="false">IF(OR(D11="",E11="",D11=0),"",E11/D11)</f>
        <v>1</v>
      </c>
      <c r="I11" s="11" t="s">
        <v>401</v>
      </c>
      <c r="J11" s="11" t="s">
        <v>317</v>
      </c>
      <c r="K11" s="11" t="s">
        <v>402</v>
      </c>
      <c r="L11" s="11" t="s">
        <v>403</v>
      </c>
      <c r="M11" s="11" t="s">
        <v>404</v>
      </c>
      <c r="N11" s="11" t="s">
        <v>405</v>
      </c>
      <c r="O11" s="11" t="s">
        <v>337</v>
      </c>
      <c r="P11" s="11" t="s">
        <v>325</v>
      </c>
      <c r="Q11" s="11" t="s">
        <v>406</v>
      </c>
      <c r="R11" s="11" t="s">
        <v>407</v>
      </c>
      <c r="S11" s="11" t="s">
        <v>326</v>
      </c>
      <c r="T11" s="11" t="s">
        <v>408</v>
      </c>
      <c r="U11" s="11" t="s">
        <v>324</v>
      </c>
      <c r="V11" s="11" t="s">
        <v>370</v>
      </c>
      <c r="W11" s="11"/>
      <c r="X11" s="11" t="s">
        <v>409</v>
      </c>
      <c r="Y11" s="11" t="s">
        <v>41</v>
      </c>
      <c r="Z11" s="11" t="s">
        <v>49</v>
      </c>
      <c r="AA11" s="11" t="s">
        <v>410</v>
      </c>
    </row>
    <row r="12" customFormat="false" ht="15" hidden="false" customHeight="true" outlineLevel="0" collapsed="false">
      <c r="A12" s="10" t="s">
        <v>411</v>
      </c>
      <c r="B12" s="11" t="s">
        <v>316</v>
      </c>
      <c r="C12" s="11" t="s">
        <v>352</v>
      </c>
      <c r="D12" s="11" t="n">
        <v>2</v>
      </c>
      <c r="E12" s="11" t="n">
        <v>2</v>
      </c>
      <c r="F12" s="11" t="n">
        <v>0</v>
      </c>
      <c r="G12" s="11" t="n">
        <f aca="false">IF(OR(D12="",E12=""),"",D12-E12-N(F12))</f>
        <v>0</v>
      </c>
      <c r="H12" s="12" t="n">
        <f aca="false">IF(OR(D12="",E12="",D12=0),"",E12/D12)</f>
        <v>1</v>
      </c>
      <c r="I12" s="11" t="s">
        <v>412</v>
      </c>
      <c r="J12" s="11" t="s">
        <v>374</v>
      </c>
      <c r="K12" s="11" t="s">
        <v>413</v>
      </c>
      <c r="L12" s="11" t="s">
        <v>414</v>
      </c>
      <c r="M12" s="11" t="s">
        <v>366</v>
      </c>
      <c r="N12" s="11" t="s">
        <v>348</v>
      </c>
      <c r="O12" s="11" t="s">
        <v>337</v>
      </c>
      <c r="P12" s="11" t="s">
        <v>325</v>
      </c>
      <c r="Q12" s="11" t="s">
        <v>339</v>
      </c>
      <c r="R12" s="11" t="s">
        <v>415</v>
      </c>
      <c r="S12" s="11" t="s">
        <v>339</v>
      </c>
      <c r="T12" s="11" t="s">
        <v>359</v>
      </c>
      <c r="U12" s="11" t="s">
        <v>360</v>
      </c>
      <c r="V12" s="11" t="s">
        <v>416</v>
      </c>
      <c r="W12" s="11"/>
      <c r="X12" s="11" t="s">
        <v>417</v>
      </c>
      <c r="Y12" s="11" t="s">
        <v>57</v>
      </c>
      <c r="Z12" s="11" t="s">
        <v>49</v>
      </c>
      <c r="AA12" s="11" t="s">
        <v>418</v>
      </c>
    </row>
    <row r="13" customFormat="false" ht="15" hidden="false" customHeight="true" outlineLevel="0" collapsed="false">
      <c r="A13" s="10" t="s">
        <v>419</v>
      </c>
      <c r="B13" s="11" t="s">
        <v>349</v>
      </c>
      <c r="C13" s="11" t="s">
        <v>415</v>
      </c>
      <c r="D13" s="11" t="n">
        <v>0</v>
      </c>
      <c r="E13" s="11" t="n">
        <v>0</v>
      </c>
      <c r="F13" s="11" t="n">
        <v>0</v>
      </c>
      <c r="G13" s="11" t="n">
        <f aca="false">IF(OR(D13="",E13=""),"",D13-E13-N(F13))</f>
        <v>0</v>
      </c>
      <c r="H13" s="12" t="str">
        <f aca="false">IF(OR(D13="",E13="",D13=0),"",E13/D13)</f>
        <v/>
      </c>
      <c r="I13" s="11" t="s">
        <v>349</v>
      </c>
      <c r="J13" s="11" t="s">
        <v>348</v>
      </c>
      <c r="K13" s="11"/>
      <c r="L13" s="11"/>
      <c r="M13" s="11"/>
      <c r="N13" s="11"/>
      <c r="O13" s="11" t="s">
        <v>349</v>
      </c>
      <c r="P13" s="11" t="s">
        <v>349</v>
      </c>
      <c r="Q13" s="11"/>
      <c r="R13" s="11"/>
      <c r="S13" s="11"/>
      <c r="T13" s="11"/>
      <c r="U13" s="11"/>
      <c r="V13" s="11"/>
      <c r="W13" s="11"/>
      <c r="X13" s="11" t="s">
        <v>420</v>
      </c>
      <c r="Y13" s="11" t="s">
        <v>49</v>
      </c>
      <c r="Z13" s="11" t="s">
        <v>26</v>
      </c>
      <c r="AA13" s="11" t="s">
        <v>421</v>
      </c>
    </row>
    <row r="14" customFormat="false" ht="15" hidden="false" customHeight="true" outlineLevel="0" collapsed="false">
      <c r="A14" s="10" t="s">
        <v>422</v>
      </c>
      <c r="B14" s="11" t="s">
        <v>316</v>
      </c>
      <c r="C14" s="11" t="s">
        <v>317</v>
      </c>
      <c r="D14" s="11" t="n">
        <v>18</v>
      </c>
      <c r="E14" s="11" t="n">
        <v>9</v>
      </c>
      <c r="F14" s="11" t="n">
        <v>3</v>
      </c>
      <c r="G14" s="11" t="n">
        <f aca="false">IF(OR(D14="",E14=""),"",D14-E14-N(F14))</f>
        <v>6</v>
      </c>
      <c r="H14" s="12" t="n">
        <f aca="false">IF(OR(D14="",E14="",D14=0),"",E14/D14)</f>
        <v>0.5</v>
      </c>
      <c r="I14" s="11" t="s">
        <v>423</v>
      </c>
      <c r="J14" s="11" t="s">
        <v>354</v>
      </c>
      <c r="K14" s="11" t="s">
        <v>355</v>
      </c>
      <c r="L14" s="11" t="s">
        <v>424</v>
      </c>
      <c r="M14" s="11" t="s">
        <v>425</v>
      </c>
      <c r="N14" s="11" t="s">
        <v>426</v>
      </c>
      <c r="O14" s="11" t="s">
        <v>337</v>
      </c>
      <c r="P14" s="11" t="s">
        <v>349</v>
      </c>
      <c r="Q14" s="11" t="s">
        <v>339</v>
      </c>
      <c r="R14" s="11" t="s">
        <v>339</v>
      </c>
      <c r="S14" s="11" t="s">
        <v>339</v>
      </c>
      <c r="T14" s="11" t="s">
        <v>359</v>
      </c>
      <c r="U14" s="11" t="s">
        <v>324</v>
      </c>
      <c r="V14" s="11" t="s">
        <v>329</v>
      </c>
      <c r="W14" s="11" t="s">
        <v>427</v>
      </c>
      <c r="X14" s="11" t="s">
        <v>342</v>
      </c>
      <c r="Y14" s="11" t="s">
        <v>41</v>
      </c>
      <c r="Z14" s="11" t="s">
        <v>41</v>
      </c>
      <c r="AA14" s="11" t="s">
        <v>428</v>
      </c>
    </row>
    <row r="15" customFormat="false" ht="15" hidden="false" customHeight="true" outlineLevel="0" collapsed="false">
      <c r="A15" s="10" t="s">
        <v>429</v>
      </c>
      <c r="B15" s="11" t="s">
        <v>345</v>
      </c>
      <c r="C15" s="11" t="s">
        <v>400</v>
      </c>
      <c r="D15" s="11" t="n">
        <v>6</v>
      </c>
      <c r="E15" s="11" t="n">
        <v>6</v>
      </c>
      <c r="F15" s="11" t="n">
        <v>0</v>
      </c>
      <c r="G15" s="11" t="n">
        <f aca="false">IF(OR(D15="",E15=""),"",D15-E15-N(F15))</f>
        <v>0</v>
      </c>
      <c r="H15" s="12" t="n">
        <f aca="false">IF(OR(D15="",E15="",D15=0),"",E15/D15)</f>
        <v>1</v>
      </c>
      <c r="I15" s="11" t="s">
        <v>430</v>
      </c>
      <c r="J15" s="11" t="s">
        <v>319</v>
      </c>
      <c r="K15" s="11" t="s">
        <v>364</v>
      </c>
      <c r="L15" s="11" t="s">
        <v>356</v>
      </c>
      <c r="M15" s="11" t="s">
        <v>366</v>
      </c>
      <c r="N15" s="11" t="s">
        <v>336</v>
      </c>
      <c r="O15" s="11" t="s">
        <v>337</v>
      </c>
      <c r="P15" s="11" t="s">
        <v>349</v>
      </c>
      <c r="Q15" s="11" t="s">
        <v>326</v>
      </c>
      <c r="R15" s="11" t="s">
        <v>326</v>
      </c>
      <c r="S15" s="11" t="s">
        <v>326</v>
      </c>
      <c r="T15" s="11" t="s">
        <v>431</v>
      </c>
      <c r="U15" s="11" t="s">
        <v>324</v>
      </c>
      <c r="V15" s="11" t="s">
        <v>329</v>
      </c>
      <c r="W15" s="11"/>
      <c r="X15" s="11" t="s">
        <v>371</v>
      </c>
      <c r="Y15" s="11" t="s">
        <v>49</v>
      </c>
      <c r="Z15" s="11" t="s">
        <v>57</v>
      </c>
      <c r="AA15" s="11" t="s">
        <v>432</v>
      </c>
    </row>
    <row r="16" customFormat="false" ht="15" hidden="false" customHeight="true" outlineLevel="0" collapsed="false">
      <c r="A16" s="10" t="s">
        <v>433</v>
      </c>
      <c r="B16" s="11" t="s">
        <v>345</v>
      </c>
      <c r="C16" s="11" t="s">
        <v>352</v>
      </c>
      <c r="D16" s="11" t="n">
        <v>2</v>
      </c>
      <c r="E16" s="11" t="n">
        <v>2</v>
      </c>
      <c r="F16" s="11" t="n">
        <v>0</v>
      </c>
      <c r="G16" s="11" t="n">
        <f aca="false">IF(OR(D16="",E16=""),"",D16-E16-N(F16))</f>
        <v>0</v>
      </c>
      <c r="H16" s="12" t="n">
        <f aca="false">IF(OR(D16="",E16="",D16=0),"",E16/D16)</f>
        <v>1</v>
      </c>
      <c r="I16" s="11" t="s">
        <v>434</v>
      </c>
      <c r="J16" s="11" t="s">
        <v>374</v>
      </c>
      <c r="K16" s="11" t="s">
        <v>349</v>
      </c>
      <c r="L16" s="11" t="s">
        <v>435</v>
      </c>
      <c r="M16" s="11" t="s">
        <v>436</v>
      </c>
      <c r="N16" s="11" t="s">
        <v>437</v>
      </c>
      <c r="O16" s="11" t="s">
        <v>349</v>
      </c>
      <c r="P16" s="11" t="s">
        <v>358</v>
      </c>
      <c r="Q16" s="11" t="s">
        <v>392</v>
      </c>
      <c r="R16" s="11" t="s">
        <v>392</v>
      </c>
      <c r="S16" s="11" t="s">
        <v>326</v>
      </c>
      <c r="T16" s="11" t="s">
        <v>359</v>
      </c>
      <c r="U16" s="11" t="s">
        <v>360</v>
      </c>
      <c r="V16" s="11" t="s">
        <v>329</v>
      </c>
      <c r="W16" s="11"/>
      <c r="X16" s="11" t="s">
        <v>381</v>
      </c>
      <c r="Y16" s="11" t="s">
        <v>41</v>
      </c>
      <c r="Z16" s="11" t="s">
        <v>57</v>
      </c>
      <c r="AA16" s="11"/>
    </row>
    <row r="17" customFormat="false" ht="15" hidden="false" customHeight="true" outlineLevel="0" collapsed="false">
      <c r="A17" s="10" t="s">
        <v>438</v>
      </c>
      <c r="B17" s="11" t="s">
        <v>316</v>
      </c>
      <c r="C17" s="11" t="s">
        <v>317</v>
      </c>
      <c r="D17" s="11" t="n">
        <v>3</v>
      </c>
      <c r="E17" s="11" t="n">
        <v>1</v>
      </c>
      <c r="F17" s="11" t="n">
        <v>1</v>
      </c>
      <c r="G17" s="11" t="n">
        <f aca="false">IF(OR(D17="",E17=""),"",D17-E17-N(F17))</f>
        <v>1</v>
      </c>
      <c r="H17" s="12" t="n">
        <f aca="false">IF(OR(D17="",E17="",D17=0),"",E17/D17)</f>
        <v>0.333333333333333</v>
      </c>
      <c r="I17" s="11" t="s">
        <v>439</v>
      </c>
      <c r="J17" s="11" t="s">
        <v>354</v>
      </c>
      <c r="K17" s="11" t="s">
        <v>355</v>
      </c>
      <c r="L17" s="11" t="s">
        <v>335</v>
      </c>
      <c r="M17" s="11" t="s">
        <v>357</v>
      </c>
      <c r="N17" s="11" t="s">
        <v>348</v>
      </c>
      <c r="O17" s="11" t="s">
        <v>337</v>
      </c>
      <c r="P17" s="11" t="s">
        <v>358</v>
      </c>
      <c r="Q17" s="11" t="s">
        <v>339</v>
      </c>
      <c r="R17" s="11" t="s">
        <v>339</v>
      </c>
      <c r="S17" s="11" t="s">
        <v>327</v>
      </c>
      <c r="T17" s="11" t="s">
        <v>359</v>
      </c>
      <c r="U17" s="11" t="s">
        <v>324</v>
      </c>
      <c r="V17" s="11" t="s">
        <v>440</v>
      </c>
      <c r="W17" s="11" t="s">
        <v>441</v>
      </c>
      <c r="X17" s="11" t="s">
        <v>342</v>
      </c>
      <c r="Y17" s="11" t="s">
        <v>49</v>
      </c>
      <c r="Z17" s="11" t="s">
        <v>49</v>
      </c>
      <c r="AA17" s="11" t="s">
        <v>442</v>
      </c>
    </row>
    <row r="18" customFormat="false" ht="15" hidden="false" customHeight="true" outlineLevel="0" collapsed="false">
      <c r="A18" s="10" t="s">
        <v>443</v>
      </c>
      <c r="B18" s="11" t="s">
        <v>316</v>
      </c>
      <c r="C18" s="11" t="s">
        <v>317</v>
      </c>
      <c r="D18" s="11" t="n">
        <v>25</v>
      </c>
      <c r="E18" s="11" t="n">
        <v>10</v>
      </c>
      <c r="F18" s="11" t="n">
        <v>12</v>
      </c>
      <c r="G18" s="11" t="n">
        <f aca="false">IF(OR(D18="",E18=""),"",D18-E18-N(F18))</f>
        <v>3</v>
      </c>
      <c r="H18" s="12" t="n">
        <f aca="false">IF(OR(D18="",E18="",D18=0),"",E18/D18)</f>
        <v>0.4</v>
      </c>
      <c r="I18" s="11" t="s">
        <v>444</v>
      </c>
      <c r="J18" s="11" t="s">
        <v>374</v>
      </c>
      <c r="K18" s="11" t="s">
        <v>349</v>
      </c>
      <c r="L18" s="11" t="s">
        <v>335</v>
      </c>
      <c r="M18" s="11" t="s">
        <v>366</v>
      </c>
      <c r="N18" s="11" t="s">
        <v>348</v>
      </c>
      <c r="O18" s="11" t="s">
        <v>349</v>
      </c>
      <c r="P18" s="11" t="s">
        <v>349</v>
      </c>
      <c r="Q18" s="11" t="s">
        <v>339</v>
      </c>
      <c r="R18" s="11" t="s">
        <v>339</v>
      </c>
      <c r="S18" s="11" t="s">
        <v>326</v>
      </c>
      <c r="T18" s="11" t="s">
        <v>359</v>
      </c>
      <c r="U18" s="11" t="s">
        <v>337</v>
      </c>
      <c r="V18" s="11" t="s">
        <v>380</v>
      </c>
      <c r="W18" s="11" t="s">
        <v>445</v>
      </c>
      <c r="X18" s="11" t="s">
        <v>342</v>
      </c>
      <c r="Y18" s="11" t="s">
        <v>41</v>
      </c>
      <c r="Z18" s="11" t="s">
        <v>57</v>
      </c>
      <c r="AA18" s="11" t="s">
        <v>446</v>
      </c>
    </row>
    <row r="19" customFormat="false" ht="15" hidden="false" customHeight="true" outlineLevel="0" collapsed="false">
      <c r="A19" s="10" t="s">
        <v>447</v>
      </c>
      <c r="B19" s="11" t="s">
        <v>316</v>
      </c>
      <c r="C19" s="11" t="s">
        <v>400</v>
      </c>
      <c r="D19" s="11" t="n">
        <v>9</v>
      </c>
      <c r="E19" s="11" t="n">
        <v>7</v>
      </c>
      <c r="F19" s="11" t="n">
        <v>0</v>
      </c>
      <c r="G19" s="11" t="n">
        <f aca="false">IF(OR(D19="",E19=""),"",D19-E19-N(F19))</f>
        <v>2</v>
      </c>
      <c r="H19" s="12" t="n">
        <f aca="false">IF(OR(D19="",E19="",D19=0),"",E19/D19)</f>
        <v>0.777777777777778</v>
      </c>
      <c r="I19" s="11" t="s">
        <v>448</v>
      </c>
      <c r="J19" s="11" t="s">
        <v>374</v>
      </c>
      <c r="K19" s="11" t="s">
        <v>349</v>
      </c>
      <c r="L19" s="11" t="s">
        <v>349</v>
      </c>
      <c r="M19" s="11" t="s">
        <v>449</v>
      </c>
      <c r="N19" s="11" t="s">
        <v>348</v>
      </c>
      <c r="O19" s="11" t="s">
        <v>349</v>
      </c>
      <c r="P19" s="11" t="s">
        <v>349</v>
      </c>
      <c r="Q19" s="11" t="s">
        <v>349</v>
      </c>
      <c r="R19" s="11" t="s">
        <v>349</v>
      </c>
      <c r="S19" s="11" t="s">
        <v>392</v>
      </c>
      <c r="T19" s="11" t="s">
        <v>359</v>
      </c>
      <c r="U19" s="11" t="s">
        <v>360</v>
      </c>
      <c r="V19" s="11" t="s">
        <v>450</v>
      </c>
      <c r="W19" s="11"/>
      <c r="X19" s="11" t="s">
        <v>451</v>
      </c>
      <c r="Y19" s="11" t="s">
        <v>49</v>
      </c>
      <c r="Z19" s="11" t="s">
        <v>41</v>
      </c>
      <c r="AA19" s="11" t="s">
        <v>452</v>
      </c>
    </row>
    <row r="20" customFormat="false" ht="23.25" hidden="false" customHeight="true" outlineLevel="0" collapsed="false">
      <c r="A20" s="10" t="s">
        <v>453</v>
      </c>
      <c r="B20" s="11" t="s">
        <v>454</v>
      </c>
      <c r="C20" s="11" t="s">
        <v>352</v>
      </c>
      <c r="D20" s="11" t="n">
        <v>14</v>
      </c>
      <c r="E20" s="11" t="n">
        <v>14</v>
      </c>
      <c r="F20" s="11" t="n">
        <v>0</v>
      </c>
      <c r="G20" s="11" t="n">
        <f aca="false">IF(OR(D20="",E20=""),"",D20-E20-N(F20))</f>
        <v>0</v>
      </c>
      <c r="H20" s="12" t="n">
        <f aca="false">IF(OR(D20="",E20="",D20=0),"",E20/D20)</f>
        <v>1</v>
      </c>
      <c r="I20" s="11" t="s">
        <v>455</v>
      </c>
      <c r="J20" s="11" t="s">
        <v>319</v>
      </c>
      <c r="K20" s="11" t="s">
        <v>456</v>
      </c>
      <c r="L20" s="11" t="s">
        <v>335</v>
      </c>
      <c r="M20" s="11" t="s">
        <v>366</v>
      </c>
      <c r="N20" s="11" t="s">
        <v>367</v>
      </c>
      <c r="O20" s="11" t="s">
        <v>337</v>
      </c>
      <c r="P20" s="11" t="s">
        <v>325</v>
      </c>
      <c r="Q20" s="11" t="s">
        <v>339</v>
      </c>
      <c r="R20" s="11" t="s">
        <v>339</v>
      </c>
      <c r="S20" s="11" t="s">
        <v>339</v>
      </c>
      <c r="T20" s="11" t="s">
        <v>457</v>
      </c>
      <c r="U20" s="11" t="s">
        <v>324</v>
      </c>
      <c r="V20" s="11" t="s">
        <v>458</v>
      </c>
      <c r="W20" s="11"/>
      <c r="X20" s="11" t="s">
        <v>459</v>
      </c>
      <c r="Y20" s="11" t="s">
        <v>49</v>
      </c>
      <c r="Z20" s="11" t="s">
        <v>41</v>
      </c>
      <c r="AA20" s="11" t="s">
        <v>460</v>
      </c>
    </row>
    <row r="21" customFormat="false" ht="15" hidden="false" customHeight="true" outlineLevel="0" collapsed="false">
      <c r="A21" s="10" t="s">
        <v>461</v>
      </c>
      <c r="B21" s="11" t="s">
        <v>316</v>
      </c>
      <c r="C21" s="11" t="s">
        <v>415</v>
      </c>
      <c r="D21" s="11"/>
      <c r="E21" s="11"/>
      <c r="F21" s="11"/>
      <c r="G21" s="11" t="str">
        <f aca="false">IF(OR(D21="",E21=""),"",D21-E21-N(F21))</f>
        <v/>
      </c>
      <c r="H21" s="12" t="str">
        <f aca="false">IF(OR(D21="",E21="",D21=0),"",E21/D21)</f>
        <v/>
      </c>
      <c r="I21" s="11" t="s">
        <v>462</v>
      </c>
      <c r="J21" s="11" t="s">
        <v>348</v>
      </c>
      <c r="K21" s="11"/>
      <c r="L21" s="11"/>
      <c r="M21" s="11"/>
      <c r="N21" s="11"/>
      <c r="O21" s="11" t="s">
        <v>349</v>
      </c>
      <c r="P21" s="11" t="s">
        <v>349</v>
      </c>
      <c r="Q21" s="11"/>
      <c r="R21" s="11"/>
      <c r="S21" s="11"/>
      <c r="T21" s="11"/>
      <c r="U21" s="11" t="s">
        <v>337</v>
      </c>
      <c r="V21" s="11"/>
      <c r="W21" s="11"/>
      <c r="X21" s="11" t="s">
        <v>145</v>
      </c>
      <c r="Y21" s="11" t="s">
        <v>57</v>
      </c>
      <c r="Z21" s="11" t="s">
        <v>140</v>
      </c>
      <c r="AA21" s="11" t="s">
        <v>463</v>
      </c>
    </row>
    <row r="22" customFormat="false" ht="15" hidden="false" customHeight="true" outlineLevel="0" collapsed="false">
      <c r="A22" s="13" t="s">
        <v>464</v>
      </c>
      <c r="B22" s="14"/>
      <c r="C22" s="14"/>
      <c r="D22" s="14" t="n">
        <f aca="false">SUM(D2:D21)</f>
        <v>253</v>
      </c>
      <c r="E22" s="14" t="n">
        <f aca="false">SUM(E2:E21)</f>
        <v>198</v>
      </c>
      <c r="F22" s="14" t="n">
        <f aca="false">SUM(F2:F21)</f>
        <v>28</v>
      </c>
      <c r="G22" s="14" t="n">
        <f aca="false">IF(SUMPRODUCT((D2:D21&lt;&gt;"")*(E2:E21&lt;&gt;""),D2:D21)=0,"",SUMPRODUCT((D2:D21&lt;&gt;"")*(E2:E21&lt;&gt;""),D2:D21)-SUMPRODUCT((D2:D21&lt;&gt;"")*(E2:E21&lt;&gt;""),E2:E21)-SUMPRODUCT((D2:D21&lt;&gt;"")*(E2:E21&lt;&gt;""),F2:F21))</f>
        <v>27</v>
      </c>
      <c r="H22" s="15" t="n">
        <f aca="false">IF(SUMPRODUCT((D2:D21&lt;&gt;"")*(E2:E21&lt;&gt;""),D2:D21)=0,"",SUMPRODUCT((D2:D21&lt;&gt;"")*(E2:E21&lt;&gt;""),E2:E21)/SUMPRODUCT((D2:D21&lt;&gt;"")*(E2:E21&lt;&gt;""),D2:D21))</f>
        <v>0.782608695652174</v>
      </c>
      <c r="I22" s="14"/>
      <c r="J22" s="14"/>
      <c r="K22" s="14"/>
      <c r="L22" s="14"/>
      <c r="M22" s="14"/>
      <c r="N22" s="14"/>
      <c r="O22" s="14"/>
      <c r="P22" s="14"/>
      <c r="Q22" s="14"/>
      <c r="R22" s="14"/>
      <c r="S22" s="14"/>
      <c r="T22" s="14"/>
      <c r="U22" s="14"/>
      <c r="V22" s="14"/>
      <c r="W22" s="14"/>
      <c r="X22" s="14"/>
      <c r="Y22" s="14"/>
      <c r="Z22" s="14"/>
      <c r="AA22" s="14"/>
    </row>
    <row r="24" customFormat="false" ht="15" hidden="false" customHeight="true" outlineLevel="0" collapsed="false">
      <c r="A24" s="16" t="s">
        <v>465</v>
      </c>
    </row>
  </sheetData>
  <conditionalFormatting sqref="H2:H22">
    <cfRule type="cellIs" priority="2" operator="lessThan" aboveAverage="0" equalAverage="0" bottom="0" percent="0" rank="0" text="" dxfId="3">
      <formula>0.8</formula>
    </cfRule>
  </conditionalFormatting>
  <dataValidations count="8">
    <dataValidation allowBlank="true" errorStyle="stop" operator="between" showDropDown="false" showErrorMessage="false" showInputMessage="false" sqref="C2:C21" type="list">
      <formula1>"Tier 1 – Critical,Tier 2 – Important,Tier 3 – Standard,Mixed,Unknown"</formula1>
      <formula2>0</formula2>
    </dataValidation>
    <dataValidation allowBlank="true" errorStyle="stop" operator="between" showDropDown="false" showErrorMessage="false" showInputMessage="false" sqref="J2:J21" type="list">
      <formula1>"Recovery Services vault,Backup vault,Service-native (no vault),Third-party,None,Mixed"</formula1>
      <formula2>0</formula2>
    </dataValidation>
    <dataValidation allowBlank="true" errorStyle="stop" operator="between" showDropDown="false" showErrorMessage="false" showInputMessage="false" sqref="O2:O21" type="list">
      <formula1>"Yes,No,Partial,N/A"</formula1>
      <formula2>0</formula2>
    </dataValidation>
    <dataValidation allowBlank="true" errorStyle="stop" operator="between" showDropDown="false" showErrorMessage="false" showInputMessage="false" sqref="P2:P21" type="list">
      <formula1>"Application-consistent,File-system consistent,Crash-consistent,Mixed,N/A"</formula1>
      <formula2>0</formula2>
    </dataValidation>
    <dataValidation allowBlank="true" errorStyle="stop" operator="between" showDropDown="false" showErrorMessage="false" showInputMessage="false" sqref="U2:U21" type="list">
      <formula1>"Yes,Partial,No,Unknown"</formula1>
      <formula2>0</formula2>
    </dataValidation>
    <dataValidation allowBlank="true" errorStyle="stop" operator="between" showDropDown="false" showErrorMessage="false" showInputMessage="false" sqref="Y2:Y21" type="list">
      <formula1>"High,Medium,Low,Unknown"</formula1>
      <formula2>0</formula2>
    </dataValidation>
    <dataValidation allowBlank="true" errorStyle="stop" operator="between" showDropDown="false" showErrorMessage="false" showInputMessage="false" sqref="Z2:Z21" type="list">
      <formula1>"High,Medium,Low,No gap,Not assessed"</formula1>
      <formula2>0</formula2>
    </dataValidation>
    <dataValidation allowBlank="true" errorStyle="stop" operator="greaterThanOrEqual" showDropDown="false" showErrorMessage="false" showInputMessage="false" sqref="D2:F21"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4" width="24"/>
    <col collapsed="false" customWidth="true" hidden="false" outlineLevel="0" max="2" min="2" style="4" width="20"/>
    <col collapsed="false" customWidth="true" hidden="false" outlineLevel="0" max="3" min="3" style="4" width="22"/>
    <col collapsed="false" customWidth="true" hidden="false" outlineLevel="0" max="4" min="4" style="4" width="14"/>
    <col collapsed="false" customWidth="true" hidden="false" outlineLevel="0" max="5" min="5" style="4" width="28"/>
    <col collapsed="false" customWidth="true" hidden="false" outlineLevel="0" max="6" min="6" style="4" width="18"/>
    <col collapsed="false" customWidth="true" hidden="false" outlineLevel="0" max="7" min="7" style="4" width="13"/>
    <col collapsed="false" customWidth="true" hidden="false" outlineLevel="0" max="8" min="8" style="4" width="16"/>
    <col collapsed="false" customWidth="true" hidden="false" outlineLevel="0" max="9" min="9" style="4" width="13"/>
    <col collapsed="false" customWidth="true" hidden="false" outlineLevel="0" max="10" min="10" style="4" width="18"/>
    <col collapsed="false" customWidth="true" hidden="false" outlineLevel="0" max="11" min="11" style="4" width="24"/>
    <col collapsed="false" customWidth="true" hidden="false" outlineLevel="0" max="12" min="12" style="4" width="18"/>
    <col collapsed="false" customWidth="true" hidden="false" outlineLevel="0" max="13" min="13" style="4" width="22"/>
    <col collapsed="false" customWidth="true" hidden="false" outlineLevel="0" max="14" min="14" style="4" width="24"/>
    <col collapsed="false" customWidth="true" hidden="false" outlineLevel="0" max="15" min="15" style="4" width="22"/>
    <col collapsed="false" customWidth="true" hidden="false" outlineLevel="0" max="16" min="16" style="4" width="14"/>
    <col collapsed="false" customWidth="true" hidden="false" outlineLevel="0" max="17" min="17" style="4" width="26"/>
    <col collapsed="false" customWidth="true" hidden="false" outlineLevel="0" max="18" min="18" style="4" width="12"/>
    <col collapsed="false" customWidth="true" hidden="false" outlineLevel="0" max="19" min="19" style="4" width="20"/>
    <col collapsed="false" customWidth="true" hidden="false" outlineLevel="0" max="20" min="20" style="4" width="15"/>
    <col collapsed="false" customWidth="true" hidden="false" outlineLevel="0" max="21" min="21" style="4" width="30"/>
  </cols>
  <sheetData>
    <row r="1" customFormat="false" ht="51.75" hidden="false" customHeight="true" outlineLevel="0" collapsed="false">
      <c r="A1" s="9" t="s">
        <v>466</v>
      </c>
      <c r="B1" s="9" t="s">
        <v>298</v>
      </c>
      <c r="C1" s="9" t="s">
        <v>467</v>
      </c>
      <c r="D1" s="9" t="s">
        <v>468</v>
      </c>
      <c r="E1" s="9" t="s">
        <v>469</v>
      </c>
      <c r="F1" s="9" t="s">
        <v>470</v>
      </c>
      <c r="G1" s="9" t="s">
        <v>471</v>
      </c>
      <c r="H1" s="9" t="s">
        <v>472</v>
      </c>
      <c r="I1" s="9" t="s">
        <v>473</v>
      </c>
      <c r="J1" s="9" t="s">
        <v>474</v>
      </c>
      <c r="K1" s="9" t="s">
        <v>475</v>
      </c>
      <c r="L1" s="9" t="s">
        <v>476</v>
      </c>
      <c r="M1" s="9" t="s">
        <v>477</v>
      </c>
      <c r="N1" s="9" t="s">
        <v>478</v>
      </c>
      <c r="O1" s="9" t="s">
        <v>479</v>
      </c>
      <c r="P1" s="9" t="s">
        <v>480</v>
      </c>
      <c r="Q1" s="9" t="s">
        <v>481</v>
      </c>
      <c r="R1" s="9" t="s">
        <v>482</v>
      </c>
      <c r="S1" s="9" t="s">
        <v>483</v>
      </c>
      <c r="T1" s="9" t="s">
        <v>484</v>
      </c>
      <c r="U1" s="9" t="s">
        <v>485</v>
      </c>
    </row>
    <row r="2" customFormat="false" ht="15" hidden="false" customHeight="true" outlineLevel="0" collapsed="false">
      <c r="A2" s="17" t="s">
        <v>364</v>
      </c>
      <c r="B2" s="11" t="s">
        <v>319</v>
      </c>
      <c r="C2" s="11" t="s">
        <v>345</v>
      </c>
      <c r="D2" s="11" t="s">
        <v>486</v>
      </c>
      <c r="E2" s="11" t="s">
        <v>487</v>
      </c>
      <c r="F2" s="11" t="s">
        <v>488</v>
      </c>
      <c r="G2" s="11" t="s">
        <v>324</v>
      </c>
      <c r="H2" s="11" t="s">
        <v>489</v>
      </c>
      <c r="I2" s="11" t="n">
        <v>14</v>
      </c>
      <c r="J2" s="11" t="s">
        <v>490</v>
      </c>
      <c r="K2" s="11" t="s">
        <v>491</v>
      </c>
      <c r="L2" s="11" t="s">
        <v>337</v>
      </c>
      <c r="M2" s="11" t="s">
        <v>492</v>
      </c>
      <c r="N2" s="11" t="s">
        <v>493</v>
      </c>
      <c r="O2" s="11"/>
      <c r="P2" s="11" t="s">
        <v>337</v>
      </c>
      <c r="Q2" s="11" t="s">
        <v>494</v>
      </c>
      <c r="R2" s="11" t="s">
        <v>337</v>
      </c>
      <c r="S2" s="11" t="s">
        <v>360</v>
      </c>
      <c r="T2" s="11" t="s">
        <v>324</v>
      </c>
      <c r="U2" s="11" t="s">
        <v>495</v>
      </c>
    </row>
    <row r="3" customFormat="false" ht="15" hidden="false" customHeight="true" outlineLevel="0" collapsed="false">
      <c r="A3" s="17" t="s">
        <v>496</v>
      </c>
      <c r="B3" s="11" t="s">
        <v>319</v>
      </c>
      <c r="C3" s="11" t="s">
        <v>497</v>
      </c>
      <c r="D3" s="11" t="s">
        <v>486</v>
      </c>
      <c r="E3" s="11" t="s">
        <v>498</v>
      </c>
      <c r="F3" s="11" t="s">
        <v>499</v>
      </c>
      <c r="G3" s="11" t="s">
        <v>500</v>
      </c>
      <c r="H3" s="11" t="s">
        <v>489</v>
      </c>
      <c r="I3" s="11" t="n">
        <v>14</v>
      </c>
      <c r="J3" s="11" t="s">
        <v>501</v>
      </c>
      <c r="K3" s="11"/>
      <c r="L3" s="11" t="s">
        <v>337</v>
      </c>
      <c r="M3" s="11" t="s">
        <v>492</v>
      </c>
      <c r="N3" s="11" t="s">
        <v>493</v>
      </c>
      <c r="O3" s="11"/>
      <c r="P3" s="11" t="s">
        <v>337</v>
      </c>
      <c r="Q3" s="11" t="s">
        <v>494</v>
      </c>
      <c r="R3" s="11" t="s">
        <v>337</v>
      </c>
      <c r="S3" s="11" t="s">
        <v>360</v>
      </c>
      <c r="T3" s="11" t="s">
        <v>337</v>
      </c>
      <c r="U3" s="11" t="s">
        <v>502</v>
      </c>
    </row>
    <row r="4" customFormat="false" ht="15" hidden="false" customHeight="true" outlineLevel="0" collapsed="false">
      <c r="A4" s="17" t="s">
        <v>355</v>
      </c>
      <c r="B4" s="11" t="s">
        <v>354</v>
      </c>
      <c r="C4" s="11" t="s">
        <v>345</v>
      </c>
      <c r="D4" s="11" t="s">
        <v>486</v>
      </c>
      <c r="E4" s="11" t="s">
        <v>503</v>
      </c>
      <c r="F4" s="11" t="s">
        <v>504</v>
      </c>
      <c r="G4" s="11" t="s">
        <v>500</v>
      </c>
      <c r="H4" s="11" t="s">
        <v>505</v>
      </c>
      <c r="I4" s="11" t="n">
        <v>14</v>
      </c>
      <c r="J4" s="11" t="s">
        <v>506</v>
      </c>
      <c r="K4" s="11" t="s">
        <v>491</v>
      </c>
      <c r="L4" s="11" t="s">
        <v>324</v>
      </c>
      <c r="M4" s="11" t="s">
        <v>492</v>
      </c>
      <c r="N4" s="11" t="s">
        <v>507</v>
      </c>
      <c r="O4" s="11" t="s">
        <v>508</v>
      </c>
      <c r="P4" s="11" t="s">
        <v>324</v>
      </c>
      <c r="Q4" s="11" t="s">
        <v>509</v>
      </c>
      <c r="R4" s="11" t="s">
        <v>324</v>
      </c>
      <c r="S4" s="11" t="s">
        <v>324</v>
      </c>
      <c r="T4" s="11" t="s">
        <v>324</v>
      </c>
      <c r="U4" s="11" t="s">
        <v>510</v>
      </c>
    </row>
    <row r="5" customFormat="false" ht="15" hidden="false" customHeight="true" outlineLevel="0" collapsed="false">
      <c r="A5" s="17" t="s">
        <v>456</v>
      </c>
      <c r="B5" s="11" t="s">
        <v>319</v>
      </c>
      <c r="C5" s="11" t="s">
        <v>454</v>
      </c>
      <c r="D5" s="11" t="s">
        <v>486</v>
      </c>
      <c r="E5" s="11" t="s">
        <v>511</v>
      </c>
      <c r="F5" s="11" t="s">
        <v>488</v>
      </c>
      <c r="G5" s="11" t="s">
        <v>337</v>
      </c>
      <c r="H5" s="11" t="s">
        <v>489</v>
      </c>
      <c r="I5" s="11" t="n">
        <v>14</v>
      </c>
      <c r="J5" s="11" t="s">
        <v>501</v>
      </c>
      <c r="K5" s="11"/>
      <c r="L5" s="11" t="s">
        <v>337</v>
      </c>
      <c r="M5" s="11" t="s">
        <v>348</v>
      </c>
      <c r="N5" s="11" t="s">
        <v>493</v>
      </c>
      <c r="O5" s="11"/>
      <c r="P5" s="11" t="s">
        <v>337</v>
      </c>
      <c r="Q5" s="11" t="s">
        <v>494</v>
      </c>
      <c r="R5" s="11" t="s">
        <v>337</v>
      </c>
      <c r="S5" s="11" t="s">
        <v>337</v>
      </c>
      <c r="T5" s="11" t="s">
        <v>337</v>
      </c>
      <c r="U5" s="11" t="s">
        <v>512</v>
      </c>
    </row>
    <row r="6" customFormat="false" ht="15" hidden="false" customHeight="true" outlineLevel="0" collapsed="false">
      <c r="A6" s="17"/>
      <c r="B6" s="11"/>
      <c r="C6" s="11"/>
      <c r="D6" s="11"/>
      <c r="E6" s="11"/>
      <c r="F6" s="11"/>
      <c r="G6" s="11"/>
      <c r="H6" s="11"/>
      <c r="I6" s="11"/>
      <c r="J6" s="11"/>
      <c r="K6" s="11"/>
      <c r="L6" s="11"/>
      <c r="M6" s="11"/>
      <c r="N6" s="11"/>
      <c r="O6" s="11"/>
      <c r="P6" s="11"/>
      <c r="Q6" s="11"/>
      <c r="R6" s="11"/>
      <c r="S6" s="11"/>
      <c r="T6" s="11"/>
      <c r="U6" s="11"/>
    </row>
    <row r="7" customFormat="false" ht="15" hidden="false" customHeight="true" outlineLevel="0" collapsed="false">
      <c r="A7" s="17"/>
      <c r="B7" s="11"/>
      <c r="C7" s="11"/>
      <c r="D7" s="11"/>
      <c r="E7" s="11"/>
      <c r="F7" s="11"/>
      <c r="G7" s="11"/>
      <c r="H7" s="11"/>
      <c r="I7" s="11"/>
      <c r="J7" s="11"/>
      <c r="K7" s="11"/>
      <c r="L7" s="11"/>
      <c r="M7" s="11"/>
      <c r="N7" s="11"/>
      <c r="O7" s="11"/>
      <c r="P7" s="11"/>
      <c r="Q7" s="11"/>
      <c r="R7" s="11"/>
      <c r="S7" s="11"/>
      <c r="T7" s="11"/>
      <c r="U7" s="11"/>
    </row>
    <row r="8" customFormat="false" ht="15" hidden="false" customHeight="true" outlineLevel="0" collapsed="false">
      <c r="A8" s="17"/>
      <c r="B8" s="11"/>
      <c r="C8" s="11"/>
      <c r="D8" s="11"/>
      <c r="E8" s="11"/>
      <c r="F8" s="11"/>
      <c r="G8" s="11"/>
      <c r="H8" s="11"/>
      <c r="I8" s="11"/>
      <c r="J8" s="11"/>
      <c r="K8" s="11"/>
      <c r="L8" s="11"/>
      <c r="M8" s="11"/>
      <c r="N8" s="11"/>
      <c r="O8" s="11"/>
      <c r="P8" s="11"/>
      <c r="Q8" s="11"/>
      <c r="R8" s="11"/>
      <c r="S8" s="11"/>
      <c r="T8" s="11"/>
      <c r="U8" s="11"/>
    </row>
    <row r="9" customFormat="false" ht="15" hidden="false" customHeight="true" outlineLevel="0" collapsed="false">
      <c r="A9" s="17"/>
      <c r="B9" s="11"/>
      <c r="C9" s="11"/>
      <c r="D9" s="11"/>
      <c r="E9" s="11"/>
      <c r="F9" s="11"/>
      <c r="G9" s="11"/>
      <c r="H9" s="11"/>
      <c r="I9" s="11"/>
      <c r="J9" s="11"/>
      <c r="K9" s="11"/>
      <c r="L9" s="11"/>
      <c r="M9" s="11"/>
      <c r="N9" s="11"/>
      <c r="O9" s="11"/>
      <c r="P9" s="11"/>
      <c r="Q9" s="11"/>
      <c r="R9" s="11"/>
      <c r="S9" s="11"/>
      <c r="T9" s="11"/>
      <c r="U9" s="11"/>
    </row>
    <row r="10" customFormat="false" ht="15" hidden="false" customHeight="true" outlineLevel="0" collapsed="false">
      <c r="A10" s="17"/>
      <c r="B10" s="11"/>
      <c r="C10" s="11"/>
      <c r="D10" s="11"/>
      <c r="E10" s="11"/>
      <c r="F10" s="11"/>
      <c r="G10" s="11"/>
      <c r="H10" s="11"/>
      <c r="I10" s="11"/>
      <c r="J10" s="11"/>
      <c r="K10" s="11"/>
      <c r="L10" s="11"/>
      <c r="M10" s="11"/>
      <c r="N10" s="11"/>
      <c r="O10" s="11"/>
      <c r="P10" s="11"/>
      <c r="Q10" s="11"/>
      <c r="R10" s="11"/>
      <c r="S10" s="11"/>
      <c r="T10" s="11"/>
      <c r="U10" s="11"/>
    </row>
    <row r="11" customFormat="false" ht="15" hidden="false" customHeight="true" outlineLevel="0" collapsed="false">
      <c r="A11" s="17"/>
      <c r="B11" s="11"/>
      <c r="C11" s="11"/>
      <c r="D11" s="11"/>
      <c r="E11" s="11"/>
      <c r="F11" s="11"/>
      <c r="G11" s="11"/>
      <c r="H11" s="11"/>
      <c r="I11" s="11"/>
      <c r="J11" s="11"/>
      <c r="K11" s="11"/>
      <c r="L11" s="11"/>
      <c r="M11" s="11"/>
      <c r="N11" s="11"/>
      <c r="O11" s="11"/>
      <c r="P11" s="11"/>
      <c r="Q11" s="11"/>
      <c r="R11" s="11"/>
      <c r="S11" s="11"/>
      <c r="T11" s="11"/>
      <c r="U11" s="11"/>
    </row>
    <row r="12" customFormat="false" ht="15" hidden="false" customHeight="true" outlineLevel="0" collapsed="false">
      <c r="A12" s="17"/>
      <c r="B12" s="11"/>
      <c r="C12" s="11"/>
      <c r="D12" s="11"/>
      <c r="E12" s="11"/>
      <c r="F12" s="11"/>
      <c r="G12" s="11"/>
      <c r="H12" s="11"/>
      <c r="I12" s="11"/>
      <c r="J12" s="11"/>
      <c r="K12" s="11"/>
      <c r="L12" s="11"/>
      <c r="M12" s="11"/>
      <c r="N12" s="11"/>
      <c r="O12" s="11"/>
      <c r="P12" s="11"/>
      <c r="Q12" s="11"/>
      <c r="R12" s="11"/>
      <c r="S12" s="11"/>
      <c r="T12" s="11"/>
      <c r="U12" s="11"/>
    </row>
    <row r="13" customFormat="false" ht="15" hidden="false" customHeight="true" outlineLevel="0" collapsed="false">
      <c r="A13" s="17"/>
      <c r="B13" s="11"/>
      <c r="C13" s="11"/>
      <c r="D13" s="11"/>
      <c r="E13" s="11"/>
      <c r="F13" s="11"/>
      <c r="G13" s="11"/>
      <c r="H13" s="11"/>
      <c r="I13" s="11"/>
      <c r="J13" s="11"/>
      <c r="K13" s="11"/>
      <c r="L13" s="11"/>
      <c r="M13" s="11"/>
      <c r="N13" s="11"/>
      <c r="O13" s="11"/>
      <c r="P13" s="11"/>
      <c r="Q13" s="11"/>
      <c r="R13" s="11"/>
      <c r="S13" s="11"/>
      <c r="T13" s="11"/>
      <c r="U13" s="11"/>
    </row>
    <row r="14" customFormat="false" ht="15" hidden="false" customHeight="true" outlineLevel="0" collapsed="false">
      <c r="A14" s="17"/>
      <c r="B14" s="11"/>
      <c r="C14" s="11"/>
      <c r="D14" s="11"/>
      <c r="E14" s="11"/>
      <c r="F14" s="11"/>
      <c r="G14" s="11"/>
      <c r="H14" s="11"/>
      <c r="I14" s="11"/>
      <c r="J14" s="11"/>
      <c r="K14" s="11"/>
      <c r="L14" s="11"/>
      <c r="M14" s="11"/>
      <c r="N14" s="11"/>
      <c r="O14" s="11"/>
      <c r="P14" s="11"/>
      <c r="Q14" s="11"/>
      <c r="R14" s="11"/>
      <c r="S14" s="11"/>
      <c r="T14" s="11"/>
      <c r="U14" s="11"/>
    </row>
    <row r="15" customFormat="false" ht="15" hidden="false" customHeight="true" outlineLevel="0" collapsed="false">
      <c r="A15" s="17"/>
      <c r="B15" s="11"/>
      <c r="C15" s="11"/>
      <c r="D15" s="11"/>
      <c r="E15" s="11"/>
      <c r="F15" s="11"/>
      <c r="G15" s="11"/>
      <c r="H15" s="11"/>
      <c r="I15" s="11"/>
      <c r="J15" s="11"/>
      <c r="K15" s="11"/>
      <c r="L15" s="11"/>
      <c r="M15" s="11"/>
      <c r="N15" s="11"/>
      <c r="O15" s="11"/>
      <c r="P15" s="11"/>
      <c r="Q15" s="11"/>
      <c r="R15" s="11"/>
      <c r="S15" s="11"/>
      <c r="T15" s="11"/>
      <c r="U15" s="11"/>
    </row>
    <row r="16" customFormat="false" ht="15" hidden="false" customHeight="true" outlineLevel="0" collapsed="false">
      <c r="A16" s="17"/>
      <c r="B16" s="11"/>
      <c r="C16" s="11"/>
      <c r="D16" s="11"/>
      <c r="E16" s="11"/>
      <c r="F16" s="11"/>
      <c r="G16" s="11"/>
      <c r="H16" s="11"/>
      <c r="I16" s="11"/>
      <c r="J16" s="11"/>
      <c r="K16" s="11"/>
      <c r="L16" s="11"/>
      <c r="M16" s="11"/>
      <c r="N16" s="11"/>
      <c r="O16" s="11"/>
      <c r="P16" s="11"/>
      <c r="Q16" s="11"/>
      <c r="R16" s="11"/>
      <c r="S16" s="11"/>
      <c r="T16" s="11"/>
      <c r="U16" s="11"/>
    </row>
    <row r="17" customFormat="false" ht="15" hidden="false" customHeight="true" outlineLevel="0" collapsed="false">
      <c r="A17" s="17"/>
      <c r="B17" s="11"/>
      <c r="C17" s="11"/>
      <c r="D17" s="11"/>
      <c r="E17" s="11"/>
      <c r="F17" s="11"/>
      <c r="G17" s="11"/>
      <c r="H17" s="11"/>
      <c r="I17" s="11"/>
      <c r="J17" s="11"/>
      <c r="K17" s="11"/>
      <c r="L17" s="11"/>
      <c r="M17" s="11"/>
      <c r="N17" s="11"/>
      <c r="O17" s="11"/>
      <c r="P17" s="11"/>
      <c r="Q17" s="11"/>
      <c r="R17" s="11"/>
      <c r="S17" s="11"/>
      <c r="T17" s="11"/>
      <c r="U17" s="11"/>
    </row>
    <row r="18" customFormat="false" ht="15" hidden="false" customHeight="true" outlineLevel="0" collapsed="false">
      <c r="A18" s="17"/>
      <c r="B18" s="11"/>
      <c r="C18" s="11"/>
      <c r="D18" s="11"/>
      <c r="E18" s="11"/>
      <c r="F18" s="11"/>
      <c r="G18" s="11"/>
      <c r="H18" s="11"/>
      <c r="I18" s="11"/>
      <c r="J18" s="11"/>
      <c r="K18" s="11"/>
      <c r="L18" s="11"/>
      <c r="M18" s="11"/>
      <c r="N18" s="11"/>
      <c r="O18" s="11"/>
      <c r="P18" s="11"/>
      <c r="Q18" s="11"/>
      <c r="R18" s="11"/>
      <c r="S18" s="11"/>
      <c r="T18" s="11"/>
      <c r="U18" s="11"/>
    </row>
    <row r="19" customFormat="false" ht="15" hidden="false" customHeight="true" outlineLevel="0" collapsed="false">
      <c r="A19" s="17"/>
      <c r="B19" s="11"/>
      <c r="C19" s="11"/>
      <c r="D19" s="11"/>
      <c r="E19" s="11"/>
      <c r="F19" s="11"/>
      <c r="G19" s="11"/>
      <c r="H19" s="11"/>
      <c r="I19" s="11"/>
      <c r="J19" s="11"/>
      <c r="K19" s="11"/>
      <c r="L19" s="11"/>
      <c r="M19" s="11"/>
      <c r="N19" s="11"/>
      <c r="O19" s="11"/>
      <c r="P19" s="11"/>
      <c r="Q19" s="11"/>
      <c r="R19" s="11"/>
      <c r="S19" s="11"/>
      <c r="T19" s="11"/>
      <c r="U19" s="11"/>
    </row>
    <row r="20" customFormat="false" ht="15" hidden="false" customHeight="true" outlineLevel="0" collapsed="false">
      <c r="A20" s="17"/>
      <c r="B20" s="11"/>
      <c r="C20" s="11"/>
      <c r="D20" s="11"/>
      <c r="E20" s="11"/>
      <c r="F20" s="11"/>
      <c r="G20" s="11"/>
      <c r="H20" s="11"/>
      <c r="I20" s="11"/>
      <c r="J20" s="11"/>
      <c r="K20" s="11"/>
      <c r="L20" s="11"/>
      <c r="M20" s="11"/>
      <c r="N20" s="11"/>
      <c r="O20" s="11"/>
      <c r="P20" s="11"/>
      <c r="Q20" s="11"/>
      <c r="R20" s="11"/>
      <c r="S20" s="11"/>
      <c r="T20" s="11"/>
      <c r="U20" s="11"/>
    </row>
    <row r="21" customFormat="false" ht="15" hidden="false" customHeight="true" outlineLevel="0" collapsed="false">
      <c r="A21" s="17"/>
      <c r="B21" s="11"/>
      <c r="C21" s="11"/>
      <c r="D21" s="11"/>
      <c r="E21" s="11"/>
      <c r="F21" s="11"/>
      <c r="G21" s="11"/>
      <c r="H21" s="11"/>
      <c r="I21" s="11"/>
      <c r="J21" s="11"/>
      <c r="K21" s="11"/>
      <c r="L21" s="11"/>
      <c r="M21" s="11"/>
      <c r="N21" s="11"/>
      <c r="O21" s="11"/>
      <c r="P21" s="11"/>
      <c r="Q21" s="11"/>
      <c r="R21" s="11"/>
      <c r="S21" s="11"/>
      <c r="T21" s="11"/>
      <c r="U21" s="11"/>
    </row>
    <row r="22" customFormat="false" ht="15" hidden="false" customHeight="true" outlineLevel="0" collapsed="false">
      <c r="A22" s="17"/>
      <c r="B22" s="11"/>
      <c r="C22" s="11"/>
      <c r="D22" s="11"/>
      <c r="E22" s="11"/>
      <c r="F22" s="11"/>
      <c r="G22" s="11"/>
      <c r="H22" s="11"/>
      <c r="I22" s="11"/>
      <c r="J22" s="11"/>
      <c r="K22" s="11"/>
      <c r="L22" s="11"/>
      <c r="M22" s="11"/>
      <c r="N22" s="11"/>
      <c r="O22" s="11"/>
      <c r="P22" s="11"/>
      <c r="Q22" s="11"/>
      <c r="R22" s="11"/>
      <c r="S22" s="11"/>
      <c r="T22" s="11"/>
      <c r="U22" s="11"/>
    </row>
  </sheetData>
  <dataValidations count="15">
    <dataValidation allowBlank="true" errorStyle="stop" operator="between" showDropDown="false" showErrorMessage="false" showInputMessage="false" sqref="B2:B22" type="list">
      <formula1>"Recovery Services vault,Backup vault"</formula1>
      <formula2>0</formula2>
    </dataValidation>
    <dataValidation allowBlank="true" errorStyle="stop" operator="between" showDropDown="false" showErrorMessage="false" showInputMessage="false" sqref="F2:F22" type="list">
      <formula1>"Locally-redundant,Zone-redundant,Geo-redundant"</formula1>
      <formula2>0</formula2>
    </dataValidation>
    <dataValidation allowBlank="true" errorStyle="stop" operator="between" showDropDown="false" showErrorMessage="false" showInputMessage="false" sqref="G2:G22" type="list">
      <formula1>"Yes,No,N/A (not geo-redundant)"</formula1>
      <formula2>0</formula2>
    </dataValidation>
    <dataValidation allowBlank="true" errorStyle="stop" operator="between" showDropDown="false" showErrorMessage="false" showInputMessage="false" sqref="H2:H22" type="list">
      <formula1>"Enabled,Enabled – always-on,Disabled"</formula1>
      <formula2>0</formula2>
    </dataValidation>
    <dataValidation allowBlank="true" error="Azure soft delete retention is 14–180 days." errorStyle="stop" operator="between" showDropDown="false" showErrorMessage="true" showInputMessage="false" sqref="I2:I22" type="whole">
      <formula1>14</formula1>
      <formula2>180</formula2>
    </dataValidation>
    <dataValidation allowBlank="true" errorStyle="stop" operator="between" showDropDown="false" showErrorMessage="false" showInputMessage="false" sqref="J2:J22" type="list">
      <formula1>"Disabled,Enabled (unlocked),Enabled and locked"</formula1>
      <formula2>0</formula2>
    </dataValidation>
    <dataValidation allowBlank="true" errorStyle="stop" operator="between" showDropDown="false" showErrorMessage="false" showInputMessage="false" sqref="K2:K22" type="list">
      <formula1>"Enable based on backup policy,Enable for specific duration"</formula1>
      <formula2>0</formula2>
    </dataValidation>
    <dataValidation allowBlank="true" errorStyle="stop" operator="between" showDropDown="false" showErrorMessage="false" showInputMessage="false" sqref="L2:L22" type="list">
      <formula1>"Yes,No"</formula1>
      <formula2>0</formula2>
    </dataValidation>
    <dataValidation allowBlank="true" errorStyle="stop" operator="between" showDropDown="false" showErrorMessage="false" showInputMessage="false" sqref="M2:M22" type="list">
      <formula1>"System-assigned,User-assigned,None"</formula1>
      <formula2>0</formula2>
    </dataValidation>
    <dataValidation allowBlank="true" errorStyle="stop" operator="between" showDropDown="false" showErrorMessage="false" showInputMessage="false" sqref="N2:N22" type="list">
      <formula1>"Use Microsoft-managed key (default),Use customer-managed key"</formula1>
      <formula2>0</formula2>
    </dataValidation>
    <dataValidation allowBlank="true" errorStyle="stop" operator="between" showDropDown="false" showErrorMessage="false" showInputMessage="false" sqref="P2:P22" type="list">
      <formula1>"Yes,No,N/A"</formula1>
      <formula2>0</formula2>
    </dataValidation>
    <dataValidation allowBlank="true" errorStyle="stop" operator="between" showDropDown="false" showErrorMessage="false" showInputMessage="false" sqref="Q2:Q22" type="list">
      <formula1>"Allow public access,Deny public access and allow private access"</formula1>
      <formula2>0</formula2>
    </dataValidation>
    <dataValidation allowBlank="true" errorStyle="stop" operator="between" showDropDown="false" showErrorMessage="false" showInputMessage="false" sqref="R2:R22" type="list">
      <formula1>"Yes,No"</formula1>
      <formula2>0</formula2>
    </dataValidation>
    <dataValidation allowBlank="true" errorStyle="stop" operator="between" showDropDown="false" showErrorMessage="false" showInputMessage="false" sqref="S2:S22" type="list">
      <formula1>"Yes,Partial,No,Unknown"</formula1>
      <formula2>0</formula2>
    </dataValidation>
    <dataValidation allowBlank="true" errorStyle="stop" operator="between" showDropDown="false" showErrorMessage="false" showInputMessage="false" sqref="T2:T2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4" width="22"/>
    <col collapsed="false" customWidth="true" hidden="false" outlineLevel="0" max="2" min="2" style="4" width="13"/>
    <col collapsed="false" customWidth="true" hidden="false" outlineLevel="0" max="3" min="3" style="4" width="22"/>
    <col collapsed="false" customWidth="true" hidden="false" outlineLevel="0" max="4" min="4" style="4" width="13"/>
    <col collapsed="false" customWidth="true" hidden="false" outlineLevel="0" max="5" min="5" style="4" width="16"/>
    <col collapsed="false" customWidth="true" hidden="false" outlineLevel="0" max="6" min="6" style="4" width="18"/>
    <col collapsed="false" customWidth="true" hidden="false" outlineLevel="0" max="7" min="7" style="4" width="24"/>
    <col collapsed="false" customWidth="true" hidden="false" outlineLevel="0" max="8" min="8" style="4" width="10"/>
    <col collapsed="false" customWidth="true" hidden="false" outlineLevel="0" max="9" min="9" style="4" width="14"/>
    <col collapsed="false" customWidth="true" hidden="false" outlineLevel="0" max="10" min="10" style="4" width="16"/>
    <col collapsed="false" customWidth="true" hidden="false" outlineLevel="0" max="11" min="11" style="4" width="22"/>
    <col collapsed="false" customWidth="true" hidden="false" outlineLevel="0" max="12" min="12" style="4" width="20"/>
    <col collapsed="false" customWidth="true" hidden="false" outlineLevel="0" max="14" min="13" style="4" width="16"/>
    <col collapsed="false" customWidth="true" hidden="false" outlineLevel="0" max="15" min="15" style="4" width="14"/>
    <col collapsed="false" customWidth="true" hidden="false" outlineLevel="0" max="16" min="16" style="4" width="13"/>
    <col collapsed="false" customWidth="true" hidden="false" outlineLevel="0" max="17" min="17" style="4" width="18"/>
    <col collapsed="false" customWidth="true" hidden="false" outlineLevel="0" max="18" min="18" style="4" width="22"/>
    <col collapsed="false" customWidth="true" hidden="false" outlineLevel="0" max="19" min="19" style="4" width="14"/>
    <col collapsed="false" customWidth="true" hidden="false" outlineLevel="0" max="20" min="20" style="4" width="16"/>
    <col collapsed="false" customWidth="true" hidden="false" outlineLevel="0" max="21" min="21" style="4" width="12"/>
    <col collapsed="false" customWidth="true" hidden="false" outlineLevel="0" max="22" min="22" style="4" width="18"/>
    <col collapsed="false" customWidth="true" hidden="false" outlineLevel="0" max="24" min="23" style="4" width="10"/>
    <col collapsed="false" customWidth="true" hidden="false" outlineLevel="0" max="25" min="25" style="4" width="20"/>
    <col collapsed="false" customWidth="true" hidden="false" outlineLevel="0" max="26" min="26" style="4" width="16"/>
    <col collapsed="false" customWidth="true" hidden="false" outlineLevel="0" max="27" min="27" style="4" width="18"/>
    <col collapsed="false" customWidth="true" hidden="false" outlineLevel="0" max="28" min="28" style="4" width="30"/>
  </cols>
  <sheetData>
    <row r="1" customFormat="false" ht="51.75" hidden="false" customHeight="true" outlineLevel="0" collapsed="false">
      <c r="A1" s="9" t="s">
        <v>513</v>
      </c>
      <c r="B1" s="9" t="s">
        <v>514</v>
      </c>
      <c r="C1" s="9" t="s">
        <v>515</v>
      </c>
      <c r="D1" s="9" t="s">
        <v>516</v>
      </c>
      <c r="E1" s="9" t="s">
        <v>291</v>
      </c>
      <c r="F1" s="9" t="s">
        <v>517</v>
      </c>
      <c r="G1" s="9" t="s">
        <v>518</v>
      </c>
      <c r="H1" s="9" t="s">
        <v>519</v>
      </c>
      <c r="I1" s="9" t="s">
        <v>520</v>
      </c>
      <c r="J1" s="9" t="s">
        <v>521</v>
      </c>
      <c r="K1" s="9" t="s">
        <v>522</v>
      </c>
      <c r="L1" s="9" t="s">
        <v>523</v>
      </c>
      <c r="M1" s="9" t="s">
        <v>524</v>
      </c>
      <c r="N1" s="9" t="s">
        <v>525</v>
      </c>
      <c r="O1" s="9" t="s">
        <v>526</v>
      </c>
      <c r="P1" s="9" t="s">
        <v>527</v>
      </c>
      <c r="Q1" s="9" t="s">
        <v>528</v>
      </c>
      <c r="R1" s="9" t="s">
        <v>529</v>
      </c>
      <c r="S1" s="9" t="s">
        <v>301</v>
      </c>
      <c r="T1" s="9" t="s">
        <v>530</v>
      </c>
      <c r="U1" s="9" t="s">
        <v>531</v>
      </c>
      <c r="V1" s="9" t="s">
        <v>532</v>
      </c>
      <c r="W1" s="9" t="s">
        <v>305</v>
      </c>
      <c r="X1" s="9" t="s">
        <v>307</v>
      </c>
      <c r="Y1" s="9" t="s">
        <v>308</v>
      </c>
      <c r="Z1" s="9" t="s">
        <v>533</v>
      </c>
      <c r="AA1" s="9" t="s">
        <v>534</v>
      </c>
      <c r="AB1" s="9" t="s">
        <v>485</v>
      </c>
    </row>
    <row r="2" customFormat="false" ht="15" hidden="false" customHeight="true" outlineLevel="0" collapsed="false">
      <c r="A2" s="17" t="s">
        <v>535</v>
      </c>
      <c r="B2" s="11" t="s">
        <v>536</v>
      </c>
      <c r="C2" s="11" t="s">
        <v>537</v>
      </c>
      <c r="D2" s="11" t="s">
        <v>345</v>
      </c>
      <c r="E2" s="11" t="s">
        <v>400</v>
      </c>
      <c r="F2" s="11" t="s">
        <v>538</v>
      </c>
      <c r="G2" s="11" t="s">
        <v>539</v>
      </c>
      <c r="H2" s="11" t="n">
        <v>3200</v>
      </c>
      <c r="I2" s="11" t="n">
        <v>120</v>
      </c>
      <c r="J2" s="11" t="s">
        <v>540</v>
      </c>
      <c r="K2" s="11" t="s">
        <v>541</v>
      </c>
      <c r="L2" s="11" t="s">
        <v>542</v>
      </c>
      <c r="M2" s="11" t="s">
        <v>543</v>
      </c>
      <c r="N2" s="11" t="s">
        <v>544</v>
      </c>
      <c r="O2" s="11" t="s">
        <v>545</v>
      </c>
      <c r="P2" s="11" t="s">
        <v>324</v>
      </c>
      <c r="Q2" s="11" t="s">
        <v>546</v>
      </c>
      <c r="R2" s="11" t="s">
        <v>547</v>
      </c>
      <c r="S2" s="11" t="s">
        <v>404</v>
      </c>
      <c r="T2" s="11" t="s">
        <v>548</v>
      </c>
      <c r="U2" s="11" t="s">
        <v>324</v>
      </c>
      <c r="V2" s="11" t="s">
        <v>549</v>
      </c>
      <c r="W2" s="11" t="s">
        <v>368</v>
      </c>
      <c r="X2" s="11" t="s">
        <v>326</v>
      </c>
      <c r="Y2" s="11" t="s">
        <v>550</v>
      </c>
      <c r="Z2" s="11" t="s">
        <v>551</v>
      </c>
      <c r="AA2" s="11" t="s">
        <v>370</v>
      </c>
      <c r="AB2" s="11" t="s">
        <v>552</v>
      </c>
    </row>
    <row r="3" customFormat="false" ht="15" hidden="false" customHeight="true" outlineLevel="0" collapsed="false">
      <c r="A3" s="17" t="s">
        <v>553</v>
      </c>
      <c r="B3" s="11" t="s">
        <v>536</v>
      </c>
      <c r="C3" s="11" t="s">
        <v>537</v>
      </c>
      <c r="D3" s="11" t="s">
        <v>497</v>
      </c>
      <c r="E3" s="11" t="s">
        <v>346</v>
      </c>
      <c r="F3" s="11" t="s">
        <v>538</v>
      </c>
      <c r="G3" s="11" t="s">
        <v>554</v>
      </c>
      <c r="H3" s="11" t="n">
        <v>1100</v>
      </c>
      <c r="I3" s="11" t="n">
        <v>15</v>
      </c>
      <c r="J3" s="11" t="s">
        <v>540</v>
      </c>
      <c r="K3" s="11" t="s">
        <v>541</v>
      </c>
      <c r="L3" s="11" t="s">
        <v>542</v>
      </c>
      <c r="M3" s="11" t="s">
        <v>543</v>
      </c>
      <c r="N3" s="11" t="s">
        <v>348</v>
      </c>
      <c r="O3" s="11" t="s">
        <v>335</v>
      </c>
      <c r="P3" s="11" t="s">
        <v>337</v>
      </c>
      <c r="Q3" s="11" t="s">
        <v>546</v>
      </c>
      <c r="R3" s="11" t="s">
        <v>547</v>
      </c>
      <c r="S3" s="11" t="s">
        <v>357</v>
      </c>
      <c r="T3" s="11" t="s">
        <v>348</v>
      </c>
      <c r="U3" s="11" t="s">
        <v>337</v>
      </c>
      <c r="V3" s="11" t="s">
        <v>348</v>
      </c>
      <c r="W3" s="11" t="s">
        <v>339</v>
      </c>
      <c r="X3" s="11" t="s">
        <v>339</v>
      </c>
      <c r="Y3" s="11" t="s">
        <v>555</v>
      </c>
      <c r="Z3" s="11" t="s">
        <v>349</v>
      </c>
      <c r="AA3" s="11" t="s">
        <v>370</v>
      </c>
      <c r="AB3" s="11"/>
    </row>
    <row r="4" customFormat="false" ht="15" hidden="false" customHeight="true" outlineLevel="0" collapsed="false">
      <c r="A4" s="17" t="s">
        <v>556</v>
      </c>
      <c r="B4" s="11" t="s">
        <v>536</v>
      </c>
      <c r="C4" s="11" t="s">
        <v>537</v>
      </c>
      <c r="D4" s="11" t="s">
        <v>345</v>
      </c>
      <c r="E4" s="11" t="s">
        <v>400</v>
      </c>
      <c r="F4" s="11" t="s">
        <v>538</v>
      </c>
      <c r="G4" s="11" t="s">
        <v>557</v>
      </c>
      <c r="H4" s="11" t="n">
        <v>900</v>
      </c>
      <c r="I4" s="11" t="n">
        <v>40</v>
      </c>
      <c r="J4" s="11" t="s">
        <v>540</v>
      </c>
      <c r="K4" s="11" t="s">
        <v>541</v>
      </c>
      <c r="L4" s="11" t="s">
        <v>542</v>
      </c>
      <c r="M4" s="11" t="s">
        <v>558</v>
      </c>
      <c r="N4" s="11" t="s">
        <v>559</v>
      </c>
      <c r="O4" s="11" t="s">
        <v>545</v>
      </c>
      <c r="P4" s="11" t="s">
        <v>324</v>
      </c>
      <c r="Q4" s="11" t="s">
        <v>348</v>
      </c>
      <c r="R4" s="11" t="s">
        <v>349</v>
      </c>
      <c r="S4" s="11" t="s">
        <v>404</v>
      </c>
      <c r="T4" s="11" t="s">
        <v>548</v>
      </c>
      <c r="U4" s="11" t="s">
        <v>324</v>
      </c>
      <c r="V4" s="11" t="s">
        <v>348</v>
      </c>
      <c r="W4" s="11" t="s">
        <v>392</v>
      </c>
      <c r="X4" s="11" t="s">
        <v>327</v>
      </c>
      <c r="Y4" s="11" t="s">
        <v>560</v>
      </c>
      <c r="Z4" s="11" t="s">
        <v>561</v>
      </c>
      <c r="AA4" s="11" t="s">
        <v>370</v>
      </c>
      <c r="AB4" s="11" t="s">
        <v>562</v>
      </c>
    </row>
    <row r="5" customFormat="false" ht="15" hidden="false" customHeight="true" outlineLevel="0" collapsed="false">
      <c r="A5" s="17" t="s">
        <v>563</v>
      </c>
      <c r="B5" s="11" t="s">
        <v>536</v>
      </c>
      <c r="C5" s="11" t="s">
        <v>537</v>
      </c>
      <c r="D5" s="11" t="s">
        <v>497</v>
      </c>
      <c r="E5" s="11" t="s">
        <v>346</v>
      </c>
      <c r="F5" s="11" t="s">
        <v>538</v>
      </c>
      <c r="G5" s="11" t="s">
        <v>557</v>
      </c>
      <c r="H5" s="11" t="n">
        <v>400</v>
      </c>
      <c r="I5" s="11" t="n">
        <v>5</v>
      </c>
      <c r="J5" s="11" t="s">
        <v>564</v>
      </c>
      <c r="K5" s="11" t="s">
        <v>565</v>
      </c>
      <c r="L5" s="11" t="s">
        <v>542</v>
      </c>
      <c r="M5" s="11" t="s">
        <v>566</v>
      </c>
      <c r="N5" s="11" t="s">
        <v>348</v>
      </c>
      <c r="O5" s="11" t="s">
        <v>349</v>
      </c>
      <c r="P5" s="11" t="s">
        <v>337</v>
      </c>
      <c r="Q5" s="11" t="s">
        <v>348</v>
      </c>
      <c r="R5" s="11" t="s">
        <v>349</v>
      </c>
      <c r="S5" s="11" t="s">
        <v>357</v>
      </c>
      <c r="T5" s="11" t="s">
        <v>348</v>
      </c>
      <c r="U5" s="11" t="s">
        <v>337</v>
      </c>
      <c r="V5" s="11" t="s">
        <v>348</v>
      </c>
      <c r="W5" s="11" t="s">
        <v>339</v>
      </c>
      <c r="X5" s="11" t="s">
        <v>339</v>
      </c>
      <c r="Y5" s="11" t="s">
        <v>359</v>
      </c>
      <c r="Z5" s="11" t="s">
        <v>567</v>
      </c>
      <c r="AA5" s="11" t="s">
        <v>370</v>
      </c>
      <c r="AB5" s="11"/>
    </row>
    <row r="6" customFormat="false" ht="15" hidden="false" customHeight="true" outlineLevel="0" collapsed="false">
      <c r="A6" s="17" t="s">
        <v>568</v>
      </c>
      <c r="B6" s="11" t="s">
        <v>536</v>
      </c>
      <c r="C6" s="11" t="s">
        <v>411</v>
      </c>
      <c r="D6" s="11" t="s">
        <v>345</v>
      </c>
      <c r="E6" s="11" t="s">
        <v>352</v>
      </c>
      <c r="F6" s="11" t="s">
        <v>538</v>
      </c>
      <c r="G6" s="11" t="s">
        <v>569</v>
      </c>
      <c r="H6" s="11" t="n">
        <v>8000</v>
      </c>
      <c r="I6" s="11" t="n">
        <v>300</v>
      </c>
      <c r="J6" s="11" t="s">
        <v>540</v>
      </c>
      <c r="K6" s="11" t="s">
        <v>570</v>
      </c>
      <c r="L6" s="11" t="s">
        <v>571</v>
      </c>
      <c r="M6" s="11" t="s">
        <v>572</v>
      </c>
      <c r="N6" s="11" t="s">
        <v>573</v>
      </c>
      <c r="O6" s="11" t="s">
        <v>574</v>
      </c>
      <c r="P6" s="11" t="s">
        <v>324</v>
      </c>
      <c r="Q6" s="11" t="s">
        <v>575</v>
      </c>
      <c r="R6" s="11" t="s">
        <v>574</v>
      </c>
      <c r="S6" s="11" t="s">
        <v>366</v>
      </c>
      <c r="T6" s="11" t="s">
        <v>348</v>
      </c>
      <c r="U6" s="11" t="s">
        <v>415</v>
      </c>
      <c r="V6" s="11" t="s">
        <v>348</v>
      </c>
      <c r="W6" s="11" t="s">
        <v>339</v>
      </c>
      <c r="X6" s="11" t="s">
        <v>339</v>
      </c>
      <c r="Y6" s="11" t="s">
        <v>359</v>
      </c>
      <c r="Z6" s="11" t="s">
        <v>567</v>
      </c>
      <c r="AA6" s="11" t="s">
        <v>416</v>
      </c>
      <c r="AB6" s="11" t="s">
        <v>576</v>
      </c>
    </row>
    <row r="7" customFormat="false" ht="15" hidden="false" customHeight="true" outlineLevel="0" collapsed="false">
      <c r="A7" s="17" t="s">
        <v>577</v>
      </c>
      <c r="B7" s="11" t="s">
        <v>536</v>
      </c>
      <c r="C7" s="11" t="s">
        <v>411</v>
      </c>
      <c r="D7" s="11" t="s">
        <v>497</v>
      </c>
      <c r="E7" s="11" t="s">
        <v>346</v>
      </c>
      <c r="F7" s="11" t="s">
        <v>538</v>
      </c>
      <c r="G7" s="11" t="s">
        <v>569</v>
      </c>
      <c r="H7" s="11" t="n">
        <v>2000</v>
      </c>
      <c r="I7" s="11" t="n">
        <v>40</v>
      </c>
      <c r="J7" s="11" t="s">
        <v>540</v>
      </c>
      <c r="K7" s="11" t="s">
        <v>570</v>
      </c>
      <c r="L7" s="11" t="s">
        <v>571</v>
      </c>
      <c r="M7" s="11" t="s">
        <v>572</v>
      </c>
      <c r="N7" s="11" t="s">
        <v>573</v>
      </c>
      <c r="O7" s="11" t="s">
        <v>574</v>
      </c>
      <c r="P7" s="11" t="s">
        <v>324</v>
      </c>
      <c r="Q7" s="11" t="s">
        <v>575</v>
      </c>
      <c r="R7" s="11" t="s">
        <v>574</v>
      </c>
      <c r="S7" s="11" t="s">
        <v>357</v>
      </c>
      <c r="T7" s="11" t="s">
        <v>348</v>
      </c>
      <c r="U7" s="11" t="s">
        <v>415</v>
      </c>
      <c r="V7" s="11" t="s">
        <v>348</v>
      </c>
      <c r="W7" s="11" t="s">
        <v>339</v>
      </c>
      <c r="X7" s="11" t="s">
        <v>339</v>
      </c>
      <c r="Y7" s="11" t="s">
        <v>359</v>
      </c>
      <c r="Z7" s="11" t="s">
        <v>567</v>
      </c>
      <c r="AA7" s="11" t="s">
        <v>416</v>
      </c>
      <c r="AB7" s="11"/>
    </row>
    <row r="8" customFormat="false" ht="15" hidden="false" customHeight="true" outlineLevel="0" collapsed="false">
      <c r="A8" s="17" t="s">
        <v>578</v>
      </c>
      <c r="B8" s="11" t="s">
        <v>579</v>
      </c>
      <c r="C8" s="11" t="s">
        <v>537</v>
      </c>
      <c r="D8" s="11" t="s">
        <v>345</v>
      </c>
      <c r="E8" s="11" t="s">
        <v>352</v>
      </c>
      <c r="F8" s="11" t="s">
        <v>580</v>
      </c>
      <c r="G8" s="11" t="s">
        <v>581</v>
      </c>
      <c r="H8" s="11" t="n">
        <v>600</v>
      </c>
      <c r="I8" s="11" t="n">
        <v>25</v>
      </c>
      <c r="J8" s="11" t="s">
        <v>582</v>
      </c>
      <c r="K8" s="11" t="s">
        <v>363</v>
      </c>
      <c r="L8" s="11" t="s">
        <v>364</v>
      </c>
      <c r="M8" s="11" t="s">
        <v>583</v>
      </c>
      <c r="N8" s="11" t="s">
        <v>584</v>
      </c>
      <c r="O8" s="11" t="s">
        <v>585</v>
      </c>
      <c r="P8" s="11" t="s">
        <v>349</v>
      </c>
      <c r="Q8" s="11" t="s">
        <v>586</v>
      </c>
      <c r="R8" s="11" t="s">
        <v>587</v>
      </c>
      <c r="S8" s="11" t="s">
        <v>366</v>
      </c>
      <c r="T8" s="11" t="s">
        <v>588</v>
      </c>
      <c r="U8" s="11" t="s">
        <v>324</v>
      </c>
      <c r="V8" s="11" t="s">
        <v>589</v>
      </c>
      <c r="W8" s="11" t="s">
        <v>368</v>
      </c>
      <c r="X8" s="11" t="s">
        <v>326</v>
      </c>
      <c r="Y8" s="11" t="s">
        <v>369</v>
      </c>
      <c r="Z8" s="11" t="s">
        <v>551</v>
      </c>
      <c r="AA8" s="11" t="s">
        <v>370</v>
      </c>
      <c r="AB8" s="11"/>
    </row>
    <row r="9" customFormat="false" ht="15" hidden="false" customHeight="true" outlineLevel="0" collapsed="false">
      <c r="A9" s="17" t="s">
        <v>590</v>
      </c>
      <c r="B9" s="11" t="s">
        <v>579</v>
      </c>
      <c r="C9" s="11" t="s">
        <v>591</v>
      </c>
      <c r="D9" s="11" t="s">
        <v>345</v>
      </c>
      <c r="E9" s="11" t="s">
        <v>400</v>
      </c>
      <c r="F9" s="11" t="s">
        <v>592</v>
      </c>
      <c r="G9" s="11" t="s">
        <v>504</v>
      </c>
      <c r="H9" s="11" t="n">
        <v>250</v>
      </c>
      <c r="I9" s="11" t="n">
        <v>10</v>
      </c>
      <c r="J9" s="11" t="s">
        <v>349</v>
      </c>
      <c r="K9" s="11" t="s">
        <v>373</v>
      </c>
      <c r="L9" s="11" t="s">
        <v>593</v>
      </c>
      <c r="M9" s="11" t="s">
        <v>594</v>
      </c>
      <c r="N9" s="11" t="s">
        <v>595</v>
      </c>
      <c r="O9" s="11" t="s">
        <v>596</v>
      </c>
      <c r="P9" s="11" t="s">
        <v>349</v>
      </c>
      <c r="Q9" s="11" t="s">
        <v>597</v>
      </c>
      <c r="R9" s="11" t="s">
        <v>349</v>
      </c>
      <c r="S9" s="11" t="s">
        <v>384</v>
      </c>
      <c r="T9" s="11" t="s">
        <v>598</v>
      </c>
      <c r="U9" s="11" t="s">
        <v>337</v>
      </c>
      <c r="V9" s="11" t="s">
        <v>599</v>
      </c>
      <c r="W9" s="11" t="s">
        <v>368</v>
      </c>
      <c r="X9" s="11" t="s">
        <v>379</v>
      </c>
      <c r="Y9" s="11" t="s">
        <v>359</v>
      </c>
      <c r="Z9" s="11" t="s">
        <v>567</v>
      </c>
      <c r="AA9" s="11" t="s">
        <v>600</v>
      </c>
      <c r="AB9" s="11"/>
    </row>
    <row r="10" customFormat="false" ht="15" hidden="false" customHeight="true" outlineLevel="0" collapsed="false">
      <c r="A10" s="17"/>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row>
    <row r="11" customFormat="false" ht="15" hidden="false" customHeight="true" outlineLevel="0" collapsed="false">
      <c r="A11" s="17"/>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row>
    <row r="12" customFormat="false" ht="15" hidden="false" customHeight="true" outlineLevel="0" collapsed="false">
      <c r="A12" s="17"/>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row>
    <row r="13" customFormat="false" ht="15" hidden="false" customHeight="true" outlineLevel="0" collapsed="false">
      <c r="A13" s="17"/>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row>
    <row r="14" customFormat="false" ht="15" hidden="false" customHeight="true" outlineLevel="0" collapsed="false">
      <c r="A14" s="17"/>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row>
    <row r="15" customFormat="false" ht="15" hidden="false" customHeight="true" outlineLevel="0" collapsed="false">
      <c r="A15" s="17"/>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row>
    <row r="16" customFormat="false" ht="15" hidden="false" customHeight="true" outlineLevel="0" collapsed="false">
      <c r="A16" s="17"/>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row>
    <row r="17" customFormat="false" ht="15" hidden="false" customHeight="true" outlineLevel="0" collapsed="false">
      <c r="A17" s="17"/>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row>
    <row r="18" customFormat="false" ht="15" hidden="false" customHeight="true" outlineLevel="0" collapsed="false">
      <c r="A18" s="1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row>
    <row r="19" customFormat="false" ht="15" hidden="false" customHeight="true" outlineLevel="0" collapsed="false">
      <c r="A19" s="1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row>
    <row r="20" customFormat="false" ht="15" hidden="false" customHeight="true" outlineLevel="0" collapsed="false">
      <c r="A20" s="1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row>
    <row r="21" customFormat="false" ht="15" hidden="false" customHeight="true" outlineLevel="0" collapsed="false">
      <c r="A21" s="1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row>
    <row r="22" customFormat="false" ht="15" hidden="false" customHeight="true" outlineLevel="0" collapsed="false">
      <c r="A22" s="17"/>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row>
    <row r="23" customFormat="false" ht="15" hidden="false" customHeight="true" outlineLevel="0" collapsed="false">
      <c r="A23" s="17"/>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row>
    <row r="24" customFormat="false" ht="15" hidden="false" customHeight="true" outlineLevel="0" collapsed="false">
      <c r="A24" s="17"/>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row>
    <row r="25" customFormat="false" ht="15" hidden="false" customHeight="true" outlineLevel="0" collapsed="false">
      <c r="A25" s="17"/>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row>
    <row r="26" customFormat="false" ht="15" hidden="false" customHeight="true" outlineLevel="0" collapsed="false">
      <c r="A26" s="17"/>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row>
    <row r="27" customFormat="false" ht="15" hidden="false" customHeight="true" outlineLevel="0" collapsed="false">
      <c r="A27" s="17"/>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row>
    <row r="28" customFormat="false" ht="15" hidden="false" customHeight="true" outlineLevel="0" collapsed="false">
      <c r="A28" s="17"/>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row>
    <row r="29" customFormat="false" ht="15" hidden="false" customHeight="true" outlineLevel="0" collapsed="false">
      <c r="A29" s="17"/>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row>
    <row r="30" customFormat="false" ht="15" hidden="false" customHeight="true" outlineLevel="0" collapsed="false">
      <c r="A30" s="17"/>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row>
    <row r="31" customFormat="false" ht="15" hidden="false" customHeight="true" outlineLevel="0" collapsed="false">
      <c r="A31" s="17"/>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row>
    <row r="33" customFormat="false" ht="15" hidden="false" customHeight="true" outlineLevel="0" collapsed="false">
      <c r="A33" s="18" t="s">
        <v>601</v>
      </c>
    </row>
  </sheetData>
  <dataValidations count="9">
    <dataValidation allowBlank="true" errorStyle="stop" operator="between" showDropDown="false" showErrorMessage="false" showInputMessage="false" sqref="B2:B31" type="list">
      <formula1>"Oracle,SQL Server,SAP HANA,PostgreSQL,MySQL,Other"</formula1>
      <formula2>0</formula2>
    </dataValidation>
    <dataValidation allowBlank="true" errorStyle="stop" operator="between" showDropDown="false" showErrorMessage="false" showInputMessage="false" sqref="C2:C31" type="list">
      <formula1>"Azure VM,Oracle Database@Azure,Azure PaaS,On-premises,Other"</formula1>
      <formula2>0</formula2>
    </dataValidation>
    <dataValidation allowBlank="true" errorStyle="stop" operator="between" showDropDown="false" showErrorMessage="false" showInputMessage="false" sqref="D2:D31" type="list">
      <formula1>"Production,Non-production,DR"</formula1>
      <formula2>0</formula2>
    </dataValidation>
    <dataValidation allowBlank="true" errorStyle="stop" operator="between" showDropDown="false" showErrorMessage="false" showInputMessage="false" sqref="E2:E31" type="list">
      <formula1>"Tier 1 – Critical,Tier 2 – Important,Tier 3 – Standard,Unknown"</formula1>
      <formula2>0</formula2>
    </dataValidation>
    <dataValidation allowBlank="true" errorStyle="stop" operator="between" showDropDown="false" showErrorMessage="false" showInputMessage="false" sqref="J2:J31" type="list">
      <formula1>"ARCHIVELOG,NOARCHIVELOG,Full recovery,Simple recovery,N/A"</formula1>
      <formula2>0</formula2>
    </dataValidation>
    <dataValidation allowBlank="true" errorStyle="stop" operator="between" showDropDown="false" showErrorMessage="false" showInputMessage="false" sqref="P2:P31" type="list">
      <formula1>"Yes,No,N/A"</formula1>
      <formula2>0</formula2>
    </dataValidation>
    <dataValidation allowBlank="true" errorStyle="stop" operator="between" showDropDown="false" showErrorMessage="false" showInputMessage="false" sqref="U2:U31" type="list">
      <formula1>"Yes,No,Unknown"</formula1>
      <formula2>0</formula2>
    </dataValidation>
    <dataValidation allowBlank="true" errorStyle="stop" operator="between" showDropDown="false" showErrorMessage="false" showInputMessage="false" sqref="Z2:Z31" type="list">
      <formula1>"Not started,In progress,Passed,Failed,N/A"</formula1>
      <formula2>0</formula2>
    </dataValidation>
    <dataValidation allowBlank="true" errorStyle="stop" operator="greaterThanOrEqual" showDropDown="false" showErrorMessage="false" showInputMessage="false" sqref="H2:I31"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4" width="5"/>
    <col collapsed="false" customWidth="true" hidden="false" outlineLevel="0" max="3" min="2" style="4" width="22"/>
    <col collapsed="false" customWidth="true" hidden="false" outlineLevel="0" max="5" min="4" style="4" width="60"/>
  </cols>
  <sheetData>
    <row r="1" customFormat="false" ht="21.75" hidden="false" customHeight="true" outlineLevel="0" collapsed="false">
      <c r="A1" s="9" t="s">
        <v>602</v>
      </c>
      <c r="B1" s="9" t="s">
        <v>603</v>
      </c>
      <c r="C1" s="9" t="s">
        <v>604</v>
      </c>
      <c r="D1" s="9" t="s">
        <v>605</v>
      </c>
      <c r="E1" s="9" t="s">
        <v>606</v>
      </c>
    </row>
    <row r="2" customFormat="false" ht="15" hidden="false" customHeight="true" outlineLevel="0" collapsed="false">
      <c r="A2" s="11" t="n">
        <v>1</v>
      </c>
      <c r="B2" s="11" t="s">
        <v>607</v>
      </c>
      <c r="C2" s="11" t="s">
        <v>608</v>
      </c>
      <c r="D2" s="11" t="s">
        <v>609</v>
      </c>
      <c r="E2" s="11" t="s">
        <v>610</v>
      </c>
    </row>
    <row r="3" customFormat="false" ht="34.5" hidden="false" customHeight="true" outlineLevel="0" collapsed="false">
      <c r="A3" s="11" t="n">
        <v>2</v>
      </c>
      <c r="B3" s="11" t="s">
        <v>607</v>
      </c>
      <c r="C3" s="11" t="s">
        <v>611</v>
      </c>
      <c r="D3" s="11" t="s">
        <v>612</v>
      </c>
      <c r="E3" s="11" t="s">
        <v>613</v>
      </c>
    </row>
    <row r="4" customFormat="false" ht="15" hidden="false" customHeight="true" outlineLevel="0" collapsed="false">
      <c r="A4" s="11" t="n">
        <v>3</v>
      </c>
      <c r="B4" s="11" t="s">
        <v>607</v>
      </c>
      <c r="C4" s="11" t="s">
        <v>9</v>
      </c>
      <c r="D4" s="11" t="s">
        <v>614</v>
      </c>
      <c r="E4" s="11" t="s">
        <v>615</v>
      </c>
    </row>
    <row r="5" customFormat="false" ht="23.25" hidden="false" customHeight="true" outlineLevel="0" collapsed="false">
      <c r="A5" s="11" t="n">
        <v>4</v>
      </c>
      <c r="B5" s="11" t="s">
        <v>607</v>
      </c>
      <c r="C5" s="11" t="s">
        <v>10</v>
      </c>
      <c r="D5" s="11" t="s">
        <v>616</v>
      </c>
      <c r="E5" s="11" t="s">
        <v>617</v>
      </c>
    </row>
    <row r="6" customFormat="false" ht="23.25" hidden="false" customHeight="true" outlineLevel="0" collapsed="false">
      <c r="A6" s="11" t="n">
        <v>5</v>
      </c>
      <c r="B6" s="11" t="s">
        <v>607</v>
      </c>
      <c r="C6" s="11" t="s">
        <v>618</v>
      </c>
      <c r="D6" s="11" t="s">
        <v>619</v>
      </c>
      <c r="E6" s="11" t="s">
        <v>620</v>
      </c>
    </row>
    <row r="7" customFormat="false" ht="23.25" hidden="false" customHeight="true" outlineLevel="0" collapsed="false">
      <c r="A7" s="11" t="n">
        <v>6</v>
      </c>
      <c r="B7" s="11" t="s">
        <v>607</v>
      </c>
      <c r="C7" s="11" t="s">
        <v>621</v>
      </c>
      <c r="D7" s="11" t="s">
        <v>622</v>
      </c>
      <c r="E7" s="11" t="s">
        <v>623</v>
      </c>
    </row>
    <row r="8" customFormat="false" ht="23.25" hidden="false" customHeight="true" outlineLevel="0" collapsed="false">
      <c r="A8" s="11" t="n">
        <v>7</v>
      </c>
      <c r="B8" s="11" t="s">
        <v>607</v>
      </c>
      <c r="C8" s="11" t="s">
        <v>536</v>
      </c>
      <c r="D8" s="11" t="s">
        <v>624</v>
      </c>
      <c r="E8" s="11" t="s">
        <v>625</v>
      </c>
    </row>
    <row r="9" customFormat="false" ht="23.25" hidden="false" customHeight="true" outlineLevel="0" collapsed="false">
      <c r="A9" s="11" t="n">
        <v>8</v>
      </c>
      <c r="B9" s="11" t="s">
        <v>607</v>
      </c>
      <c r="C9" s="11" t="s">
        <v>626</v>
      </c>
      <c r="D9" s="11" t="s">
        <v>627</v>
      </c>
      <c r="E9" s="11" t="s">
        <v>628</v>
      </c>
    </row>
    <row r="10" customFormat="false" ht="45.75" hidden="false" customHeight="true" outlineLevel="0" collapsed="false">
      <c r="A10" s="11" t="n">
        <v>9</v>
      </c>
      <c r="B10" s="11" t="s">
        <v>629</v>
      </c>
      <c r="C10" s="11" t="s">
        <v>630</v>
      </c>
      <c r="D10" s="11" t="s">
        <v>631</v>
      </c>
      <c r="E10" s="11" t="s">
        <v>632</v>
      </c>
    </row>
    <row r="11" customFormat="false" ht="45.75" hidden="false" customHeight="true" outlineLevel="0" collapsed="false">
      <c r="A11" s="11" t="n">
        <v>10</v>
      </c>
      <c r="B11" s="11" t="s">
        <v>629</v>
      </c>
      <c r="C11" s="11" t="s">
        <v>633</v>
      </c>
      <c r="D11" s="11" t="s">
        <v>634</v>
      </c>
      <c r="E11" s="11" t="s">
        <v>635</v>
      </c>
    </row>
    <row r="12" customFormat="false" ht="23.25" hidden="false" customHeight="true" outlineLevel="0" collapsed="false">
      <c r="A12" s="11" t="n">
        <v>11</v>
      </c>
      <c r="B12" s="11" t="s">
        <v>629</v>
      </c>
      <c r="C12" s="11" t="s">
        <v>636</v>
      </c>
      <c r="D12" s="11" t="s">
        <v>637</v>
      </c>
      <c r="E12" s="11" t="s">
        <v>638</v>
      </c>
    </row>
    <row r="13" customFormat="false" ht="34.5" hidden="false" customHeight="true" outlineLevel="0" collapsed="false">
      <c r="A13" s="11" t="n">
        <v>12</v>
      </c>
      <c r="B13" s="11" t="s">
        <v>629</v>
      </c>
      <c r="C13" s="11" t="s">
        <v>296</v>
      </c>
      <c r="D13" s="11" t="s">
        <v>639</v>
      </c>
      <c r="E13" s="11" t="s">
        <v>640</v>
      </c>
    </row>
    <row r="14" customFormat="false" ht="23.25" hidden="false" customHeight="true" outlineLevel="0" collapsed="false">
      <c r="A14" s="11" t="n">
        <v>13</v>
      </c>
      <c r="B14" s="11" t="s">
        <v>629</v>
      </c>
      <c r="C14" s="11" t="s">
        <v>641</v>
      </c>
      <c r="D14" s="11" t="s">
        <v>642</v>
      </c>
      <c r="E14" s="11" t="s">
        <v>643</v>
      </c>
    </row>
    <row r="15" customFormat="false" ht="34.5" hidden="false" customHeight="true" outlineLevel="0" collapsed="false">
      <c r="A15" s="11" t="n">
        <v>14</v>
      </c>
      <c r="B15" s="11" t="s">
        <v>629</v>
      </c>
      <c r="C15" s="11" t="s">
        <v>644</v>
      </c>
      <c r="D15" s="11" t="s">
        <v>645</v>
      </c>
      <c r="E15" s="11" t="s">
        <v>646</v>
      </c>
    </row>
    <row r="16" customFormat="false" ht="34.5" hidden="false" customHeight="true" outlineLevel="0" collapsed="false">
      <c r="A16" s="11" t="n">
        <v>15</v>
      </c>
      <c r="B16" s="11" t="s">
        <v>629</v>
      </c>
      <c r="C16" s="11" t="s">
        <v>647</v>
      </c>
      <c r="D16" s="11" t="s">
        <v>648</v>
      </c>
      <c r="E16" s="11" t="s">
        <v>649</v>
      </c>
    </row>
    <row r="17" customFormat="false" ht="23.25" hidden="false" customHeight="true" outlineLevel="0" collapsed="false">
      <c r="A17" s="11" t="n">
        <v>16</v>
      </c>
      <c r="B17" s="11" t="s">
        <v>629</v>
      </c>
      <c r="C17" s="11" t="s">
        <v>650</v>
      </c>
      <c r="D17" s="11" t="s">
        <v>651</v>
      </c>
      <c r="E17" s="11" t="s">
        <v>652</v>
      </c>
    </row>
    <row r="18" customFormat="false" ht="34.5" hidden="false" customHeight="true" outlineLevel="0" collapsed="false">
      <c r="A18" s="11" t="n">
        <v>17</v>
      </c>
      <c r="B18" s="11" t="s">
        <v>653</v>
      </c>
      <c r="C18" s="11" t="s">
        <v>654</v>
      </c>
      <c r="D18" s="11" t="s">
        <v>655</v>
      </c>
      <c r="E18" s="11" t="s">
        <v>656</v>
      </c>
    </row>
    <row r="19" customFormat="false" ht="15" hidden="false" customHeight="true" outlineLevel="0" collapsed="false">
      <c r="A19" s="11" t="n">
        <v>18</v>
      </c>
      <c r="B19" s="11" t="s">
        <v>653</v>
      </c>
      <c r="C19" s="11" t="s">
        <v>657</v>
      </c>
      <c r="D19" s="11" t="s">
        <v>658</v>
      </c>
      <c r="E19" s="11" t="s">
        <v>659</v>
      </c>
    </row>
    <row r="20" customFormat="false" ht="23.25" hidden="false" customHeight="true" outlineLevel="0" collapsed="false">
      <c r="A20" s="11" t="n">
        <v>19</v>
      </c>
      <c r="B20" s="11" t="s">
        <v>653</v>
      </c>
      <c r="C20" s="11" t="s">
        <v>450</v>
      </c>
      <c r="D20" s="11" t="s">
        <v>660</v>
      </c>
      <c r="E20" s="11" t="s">
        <v>661</v>
      </c>
    </row>
    <row r="21" customFormat="false" ht="23.25" hidden="false" customHeight="true" outlineLevel="0" collapsed="false">
      <c r="A21" s="11" t="n">
        <v>20</v>
      </c>
      <c r="B21" s="11" t="s">
        <v>662</v>
      </c>
      <c r="C21" s="11" t="s">
        <v>663</v>
      </c>
      <c r="D21" s="11" t="s">
        <v>664</v>
      </c>
      <c r="E21" s="11" t="s">
        <v>665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2026-10-12T16:32:23Z</dcterms:created>
  <dc:creator>Omer Zubair</dc:creator>
  <dc:description/>
  <dc:language>en-US</dc:language>
  <cp:lastModifiedBy>Omer Zubair</cp:lastModifiedBy>
  <dcterms:modified xsi:type="dcterms:W3CDTF">2026-10-13T00:19:59Z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