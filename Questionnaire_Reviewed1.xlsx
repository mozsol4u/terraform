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merz\OneDrive\Desktop\RemindMe\Deloitte\Engagement2\Backup\Questionnaries\"/>
    </mc:Choice>
  </mc:AlternateContent>
  <xr:revisionPtr revIDLastSave="0" documentId="13_ncr:1_{C6A555EF-BA3A-41DA-9F25-E736A52B88BD}" xr6:coauthVersionLast="47" xr6:coauthVersionMax="47" xr10:uidLastSave="{00000000-0000-0000-0000-000000000000}"/>
  <bookViews>
    <workbookView xWindow="-28920" yWindow="-1140" windowWidth="29040" windowHeight="15720" tabRatio="500" xr2:uid="{00000000-000D-0000-FFFF-FFFF00000000}"/>
  </bookViews>
  <sheets>
    <sheet name="Questionnaire" sheetId="1" r:id="rId1"/>
    <sheet name="Protection Inventory" sheetId="2" r:id="rId2"/>
    <sheet name="Vault Configuration" sheetId="3" r:id="rId3"/>
    <sheet name="Database Protection Detail" sheetId="4" r:id="rId4"/>
  </sheets>
  <definedNames>
    <definedName name="_xlnm._FilterDatabase" localSheetId="0" hidden="1">Questionnaire!$A$1:$H$51</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H22" i="2" l="1"/>
  <c r="G22" i="2"/>
  <c r="F22" i="2"/>
  <c r="E22" i="2"/>
  <c r="D22" i="2"/>
  <c r="H21" i="2"/>
  <c r="G21" i="2"/>
  <c r="H20" i="2"/>
  <c r="G20" i="2"/>
  <c r="H19" i="2"/>
  <c r="G19" i="2"/>
  <c r="H18" i="2"/>
  <c r="G18" i="2"/>
  <c r="H17" i="2"/>
  <c r="G17" i="2"/>
  <c r="H16" i="2"/>
  <c r="G16" i="2"/>
  <c r="H15" i="2"/>
  <c r="G15" i="2"/>
  <c r="H14" i="2"/>
  <c r="G14" i="2"/>
  <c r="H13" i="2"/>
  <c r="G13" i="2"/>
  <c r="H12" i="2"/>
  <c r="G12" i="2"/>
  <c r="H11" i="2"/>
  <c r="G11" i="2"/>
  <c r="H10" i="2"/>
  <c r="G10" i="2"/>
  <c r="H9" i="2"/>
  <c r="G9" i="2"/>
  <c r="H8" i="2"/>
  <c r="G8" i="2"/>
  <c r="H7" i="2"/>
  <c r="G7" i="2"/>
  <c r="H6" i="2"/>
  <c r="G6" i="2"/>
  <c r="H5" i="2"/>
  <c r="G5" i="2"/>
  <c r="H4" i="2"/>
  <c r="G4" i="2"/>
  <c r="H3" i="2"/>
  <c r="G3" i="2"/>
  <c r="H2" i="2"/>
  <c r="G2" i="2"/>
</calcChain>
</file>

<file path=xl/sharedStrings.xml><?xml version="1.0" encoding="utf-8"?>
<sst xmlns="http://schemas.openxmlformats.org/spreadsheetml/2006/main" count="254" uniqueCount="179">
  <si>
    <t>Question ID</t>
  </si>
  <si>
    <t>Assessment Area</t>
  </si>
  <si>
    <t>Question</t>
  </si>
  <si>
    <t>Client Response</t>
  </si>
  <si>
    <t>Respondent (Role)</t>
  </si>
  <si>
    <t>Gap / Risk Rating</t>
  </si>
  <si>
    <t>Follow-up Action &amp; Owner</t>
  </si>
  <si>
    <t>Status</t>
  </si>
  <si>
    <t>Scope</t>
  </si>
  <si>
    <t>Which Azure subscriptions and environments should we include in this review?</t>
  </si>
  <si>
    <t>Open</t>
  </si>
  <si>
    <t>Workloads</t>
  </si>
  <si>
    <t>What types of systems or services are running in those subscriptions?</t>
  </si>
  <si>
    <t>Business Importance</t>
  </si>
  <si>
    <t>Which applications or workloads are most important to the business?</t>
  </si>
  <si>
    <t>Ownership</t>
  </si>
  <si>
    <t>Who owns backup for Azure workloads today, and who is accountable for coverage?</t>
  </si>
  <si>
    <t>Backup Services</t>
  </si>
  <si>
    <t>Which backup and recovery tools are in use today for Azure workloads in addition to Azure Backup (e.g. third-party, database-native, or scripted tools)?</t>
  </si>
  <si>
    <t>Backup Organisation</t>
  </si>
  <si>
    <t>Are backups managed centrally, or does each application/team manage its own?</t>
  </si>
  <si>
    <t>Current Coverage</t>
  </si>
  <si>
    <t>Do we have a list showing which workloads are protected by backup today?</t>
  </si>
  <si>
    <t>Unprotected Items &amp; Exceptions</t>
  </si>
  <si>
    <t>Is there a known list of unprotected or exempted workloads, and who approved the exemptions?</t>
  </si>
  <si>
    <t>Partially Protected &amp; Exceptions</t>
  </si>
  <si>
    <t>Which workloads are only partially protected, and what is the reason for each exception?</t>
  </si>
  <si>
    <t>Backup Settings &amp; Exceptions</t>
  </si>
  <si>
    <t>Do any workloads have different backup settings or special exceptions?</t>
  </si>
  <si>
    <t>Workload Eligibility</t>
  </si>
  <si>
    <t>Are any in-scope workload types, configurations, or versions unsupported by the current protection method or subject to limitations?</t>
  </si>
  <si>
    <t>Onboarding of New Resources</t>
  </si>
  <si>
    <t>When a new workload or Azure resource is deployed, how is it identified and enrolled into the required backup protection?</t>
  </si>
  <si>
    <t>On-Premises Servers</t>
  </si>
  <si>
    <t>Are any on-premises servers being backed up by Azure Backup?</t>
  </si>
  <si>
    <t>Backup Schedules</t>
  </si>
  <si>
    <t>How often are backups scheduled for the main workload types?</t>
  </si>
  <si>
    <t>Backup Retention</t>
  </si>
  <si>
    <t>How long are backups kept today?</t>
  </si>
  <si>
    <t>Backup Failures</t>
  </si>
  <si>
    <t>What usually happens when a backup fails?</t>
  </si>
  <si>
    <t>Change &amp; Decommission Lifecycle</t>
  </si>
  <si>
    <t>How are backup policies and data handled when workloads are moved, reconfigured, transferred between owners, or decommissioned?</t>
  </si>
  <si>
    <t>Operations &amp; Restore Confidence</t>
  </si>
  <si>
    <t>When were restores last tested, and what were the results?</t>
  </si>
  <si>
    <t>Planned Changes</t>
  </si>
  <si>
    <t>What changes are planned over the next 6-12 months that could affect backup scope?</t>
  </si>
  <si>
    <t>Known Pain Points</t>
  </si>
  <si>
    <t>What are the top three pain points, limitations, workarounds, or lessons learned with the current Azure-native backup environment?</t>
  </si>
  <si>
    <t>How many Oracle databases are in scope, and where is each hosted (Oracle on Azure VMs, Oracle Database@Azure, on-premises, or another cloud)?</t>
  </si>
  <si>
    <t>Which Oracle versions, editions (Enterprise / Standard Edition 2) and patch levels are in use, and are any approaching end of support?</t>
  </si>
  <si>
    <t>What is the architecture of each database (single instance, RAC, multitenant CDB/PDB, Data Guard / Active Data Guard, GoldenGate replication)?</t>
  </si>
  <si>
    <t>What is the size of each database, its typical daily change rate and archive log generation, and the expected growth over the next 12–24 months?</t>
  </si>
  <si>
    <t>What OS and storage layout do the database hosts use (Linux distribution, ASM or file system, Azure disk types, Azure NetApp Files), and is any data held outside the database that must be recovered with it (external tables, BFILEs, application file shares)?</t>
  </si>
  <si>
    <t>Which applications depend on each database, what is its business criticality tier, and must any databases be recovered to the same point in time as each other or as other systems?</t>
  </si>
  <si>
    <t>Who is responsible for Oracle backup and restore (DBA team, infrastructure team, managed service provider), and for Oracle Database@Azure, which backup responsibilities sit with Oracle/OCI versus the client?</t>
  </si>
  <si>
    <t>What backup method is used for each database today (RMAN, Azure Backup with Oracle application-consistent snapshots, storage snapshots, third-party tool, Data Pump exports), and where are backups written (local disk, Azure Blob, Azure Files, Azure NetApp Files, media manager)?</t>
  </si>
  <si>
    <t>How is RMAN configured: ARCHIVELOG mode, full / incremental level 0 and 1 schedule, archive log backup frequency and deletion policy, block change tracking, control file and SPFILE autobackup, compression, retention policy, and recovery catalog or control file repository?</t>
  </si>
  <si>
    <t>Is Transparent Data Encryption or RMAN backup encryption in use? Where is the keystore (wallet) held, how is it backed up separately from the database backups, and who can access it?</t>
  </si>
  <si>
    <t>How are Oracle backups protected from deletion or tampering (immutable storage, soft delete, separate credentials or subscription, restricted DBA access to the backup target)?</t>
  </si>
  <si>
    <t>What RPO, RTO and point-in-time recovery window are required for each database or tier, and have these been formally agreed with the business owners?</t>
  </si>
  <si>
    <t>What retention is required (operational, monthly / yearly long-term, regulatory or legal hold), and are there data residency constraints on where backup copies may be stored?</t>
  </si>
  <si>
    <t>Which restore scenarios must be supported (full database, PDB, tablespace, table-level recovery, restore to an alternate host or region, non-production refresh / cloning)?</t>
  </si>
  <si>
    <t>What disaster recovery is in place (Data Guard standby in another zone or region, cross-region backup copies), and is backup treated separately from replication given that replication can propagate corruption or deletion?</t>
  </si>
  <si>
    <t>What backup windows, performance limits and licensing considerations apply (e.g. Oracle option licensing for backup compression or encryption, licensing of standby or restore hosts)?</t>
  </si>
  <si>
    <t>Have all in-scope databases completed successful full, incremental and archive log backups for an agreed period (e.g. 14 consecutive days) with no gaps in the archive log sequence?</t>
  </si>
  <si>
    <t>Has backup integrity been verified (e.g. RMAN RESTORE VALIDATE / BACKUP VALIDATE CHECK LOGICAL), and has a full restore to an alternate host completed within the agreed RTO?</t>
  </si>
  <si>
    <t>Has a point-in-time recovery test (and PDB or table-level recovery where required) met the agreed RPO, with application owner sign-off on data integrity?</t>
  </si>
  <si>
    <t>Has a restore of encrypted backups been tested using the keystore recovered from its separate backup location?</t>
  </si>
  <si>
    <t>Are monitoring and alerts in place for failed or missed backups and archive log destination space, routed to an owned queue, and has a test alert been confirmed?</t>
  </si>
  <si>
    <t>Have retention, immutability and deletion protection settings been verified as applied, and has backup storage consumption and cost been reconciled against estimates?</t>
  </si>
  <si>
    <t>Have Data Guard switchover / failover (if used) and DR restore been tested, and have runbooks, roles and escalation paths been documented and handed over to operations?</t>
  </si>
  <si>
    <t>Recovery Objectives</t>
  </si>
  <si>
    <t>Are RPO and RTO targets defined for each workload tier across all Azure workloads, and how do current backup schedules compare with them?</t>
  </si>
  <si>
    <t>Backup Security</t>
  </si>
  <si>
    <t>Which vault security controls are in place (immutability, soft delete, multi-user authorisation / Resource Guard, private endpoints, separation of backup and workload admin roles)?</t>
  </si>
  <si>
    <t>Monitoring &amp; Reporting</t>
  </si>
  <si>
    <t>How is backup health monitored and reported (Business Continuity Center, Azure Monitor alerts, Backup reports), and who receives and acts on alerts?</t>
  </si>
  <si>
    <t>Compliance &amp; Retention</t>
  </si>
  <si>
    <t>Which regulatory, contractual or internal policies drive backup retention, legal hold or data residency requirements?</t>
  </si>
  <si>
    <t>Disaster Recovery</t>
  </si>
  <si>
    <t>Which workloads require recovery in a secondary region, and is Cross Region Restore or another cross-region copy in place for them?</t>
  </si>
  <si>
    <t>Cost Management</t>
  </si>
  <si>
    <t>How are backup storage and protected-instance costs tracked and allocated, and are there known cost pressures influencing retention or coverage?</t>
  </si>
  <si>
    <t>Workload Category</t>
  </si>
  <si>
    <t>Environments / Subscriptions in Scope</t>
  </si>
  <si>
    <t>Business Criticality</t>
  </si>
  <si>
    <t>Approx. Total in Scope</t>
  </si>
  <si>
    <t># Protected</t>
  </si>
  <si>
    <t># Excluded (approved)</t>
  </si>
  <si>
    <t># Unprotected (gap)</t>
  </si>
  <si>
    <t>% Protected</t>
  </si>
  <si>
    <t>Primary Backup Method / Tool</t>
  </si>
  <si>
    <t>Vault Type</t>
  </si>
  <si>
    <t>Vault Name(s) (see Vault Configuration)</t>
  </si>
  <si>
    <t>Backup Frequency</t>
  </si>
  <si>
    <t>Operational Retention</t>
  </si>
  <si>
    <t>Long-Term Retention (weekly / monthly / yearly)</t>
  </si>
  <si>
    <t>Archive Tier Used</t>
  </si>
  <si>
    <t>Backup Consistency</t>
  </si>
  <si>
    <t>RPO Target</t>
  </si>
  <si>
    <t>RPO Achieved</t>
  </si>
  <si>
    <t>RTO Target</t>
  </si>
  <si>
    <t>Last Restore Test (date / result)</t>
  </si>
  <si>
    <t>Monitoring &amp; Alerting</t>
  </si>
  <si>
    <t>Backup Owner (team)</t>
  </si>
  <si>
    <t>Exclusions – Reason &amp; Approver</t>
  </si>
  <si>
    <t>Data Source / Evidence</t>
  </si>
  <si>
    <t>Confidence in Numbers</t>
  </si>
  <si>
    <t>Notes / Recommendations</t>
  </si>
  <si>
    <t>Virtual machines: Windows</t>
  </si>
  <si>
    <t>Unknown</t>
  </si>
  <si>
    <t>Virtual machines: Linux</t>
  </si>
  <si>
    <t>VM scale sets</t>
  </si>
  <si>
    <t>Managed disks (standalone)</t>
  </si>
  <si>
    <t>SQL Server on Azure VMs</t>
  </si>
  <si>
    <t>Azure SQL Database</t>
  </si>
  <si>
    <t>Azure SQL Managed Instance</t>
  </si>
  <si>
    <t>PostgreSQL / MySQL flexible servers</t>
  </si>
  <si>
    <t>Cosmos DB</t>
  </si>
  <si>
    <t>Oracle Database on Azure VMs</t>
  </si>
  <si>
    <t>Oracle Database@Azure</t>
  </si>
  <si>
    <t>SAP HANA on Azure VMs</t>
  </si>
  <si>
    <t>Blob storage / ADLS Gen2</t>
  </si>
  <si>
    <t>Azure Files</t>
  </si>
  <si>
    <t>Azure NetApp Files</t>
  </si>
  <si>
    <t>AKS (persistent volumes)</t>
  </si>
  <si>
    <t>App Service / Functions</t>
  </si>
  <si>
    <t>Key Vault</t>
  </si>
  <si>
    <t>On-premises servers (MARS / MABS / DPM)</t>
  </si>
  <si>
    <t>Other services (to be identified)</t>
  </si>
  <si>
    <t>Total (all categories)</t>
  </si>
  <si>
    <t>Vault Name</t>
  </si>
  <si>
    <t>Subscription / Environment</t>
  </si>
  <si>
    <t>Region</t>
  </si>
  <si>
    <t>Workload Categories Protected</t>
  </si>
  <si>
    <t>Backup Storage Redundancy</t>
  </si>
  <si>
    <t>Cross Region Restore</t>
  </si>
  <si>
    <t>Soft Delete State</t>
  </si>
  <si>
    <t>Soft Delete Retention (days)</t>
  </si>
  <si>
    <t>Vault Immutability</t>
  </si>
  <si>
    <t>Vault Immutability Type</t>
  </si>
  <si>
    <t>Multi-User Authorisation (Resource Guard)</t>
  </si>
  <si>
    <t>Managed Identity</t>
  </si>
  <si>
    <t>Encryption Type</t>
  </si>
  <si>
    <t>CMK Key Vault &amp; Rotation</t>
  </si>
  <si>
    <t>Infrastructure Encryption</t>
  </si>
  <si>
    <t>Vault Access</t>
  </si>
  <si>
    <t>Private Endpoint</t>
  </si>
  <si>
    <t>Backup RBAC Separated from Workload Admins</t>
  </si>
  <si>
    <t>Diagnostics to Log Analytics</t>
  </si>
  <si>
    <t>Notes</t>
  </si>
  <si>
    <t>Database Identifier</t>
  </si>
  <si>
    <t>Engine</t>
  </si>
  <si>
    <t>Hosting Model</t>
  </si>
  <si>
    <t>Environment</t>
  </si>
  <si>
    <t>Version / Edition</t>
  </si>
  <si>
    <t>Architecture (single / RAC / CDB-PDB / Data Guard)</t>
  </si>
  <si>
    <t>Size (GB)</t>
  </si>
  <si>
    <t>Daily Change / Archive Log (GB)</t>
  </si>
  <si>
    <t>Log Mode</t>
  </si>
  <si>
    <t>Backup Method / Tool</t>
  </si>
  <si>
    <t>Backup Target</t>
  </si>
  <si>
    <t>Full / Level 0 Schedule</t>
  </si>
  <si>
    <t>Incremental Schedule</t>
  </si>
  <si>
    <t>Log Backup Frequency</t>
  </si>
  <si>
    <t>Block Change Tracking</t>
  </si>
  <si>
    <t>Encryption (TDE / backup)</t>
  </si>
  <si>
    <t>Keystore / Wallet Backup Location</t>
  </si>
  <si>
    <t>Long-Term Retention</t>
  </si>
  <si>
    <t>Immutable Copy</t>
  </si>
  <si>
    <t>Cross-Region / DR Copy</t>
  </si>
  <si>
    <t>Validation Status</t>
  </si>
  <si>
    <t>DB Owner (team)</t>
  </si>
  <si>
    <t>Oracle Database Backup Discovery</t>
  </si>
  <si>
    <t>Discovery</t>
  </si>
  <si>
    <t>Configuration</t>
  </si>
  <si>
    <t>Validation</t>
  </si>
  <si>
    <t>Backup &amp;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</si>
</sst>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name val="Calibri"/>
      <family val="2"/>
    </font>
    <font>
      <sz val="11"/>
      <name val="Calibri"/>
      <family val="2"/>
    </font>
    <font>
      <b/>
      <sz val="10"/>
      <color rgb="FFFFFFFF"/>
      <name val="Arial"/>
      <family val="2"/>
    </font>
    <font>
      <b/>
      <sz val="10"/>
      <name val="Arial"/>
      <family val="2"/>
    </font>
    <font>
      <sz val="10"/>
      <name val="Arial"/>
      <family val="2"/>
    </font>
    <font>
      <b/>
      <sz val="16"/>
      <name val="Calibri"/>
      <family val="2"/>
    </font>
  </fonts>
  <fills count="8">
    <fill>
      <patternFill patternType="none"/>
    </fill>
    <fill>
      <patternFill patternType="gray125"/>
    </fill>
    <fill>
      <patternFill patternType="solid">
        <fgColor rgb="FFFFFF00"/>
        <bgColor rgb="FFFFFF00"/>
      </patternFill>
    </fill>
    <fill>
      <patternFill patternType="solid">
        <fgColor rgb="FF582873"/>
        <bgColor rgb="FF333333"/>
      </patternFill>
    </fill>
    <fill>
      <patternFill patternType="solid">
        <fgColor rgb="FFF3EAF8"/>
        <bgColor rgb="FFEAF4FB"/>
      </patternFill>
    </fill>
    <fill>
      <patternFill patternType="solid">
        <fgColor theme="2"/>
        <bgColor indexed="64"/>
      </patternFill>
    </fill>
    <fill>
      <patternFill patternType="solid">
        <fgColor theme="9" tint="0.59999389629810485"/>
        <bgColor indexed="64"/>
      </patternFill>
    </fill>
    <fill>
      <patternFill patternType="solid">
        <fgColor theme="5" tint="0.79998168889431442"/>
        <bgColor rgb="FFF3EAF8"/>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3" borderId="1" xfId="0" applyFont="1" applyFill="1" applyBorder="1" applyAlignment="1">
      <alignment vertical="center" wrapText="1"/>
    </xf>
    <xf numFmtId="0" fontId="4" fillId="4" borderId="1" xfId="0" applyFont="1" applyFill="1" applyBorder="1" applyAlignment="1">
      <alignment vertical="top" wrapText="1"/>
    </xf>
    <xf numFmtId="0" fontId="5" fillId="0" borderId="1" xfId="0" applyFont="1" applyBorder="1" applyAlignment="1">
      <alignment vertical="top" wrapText="1"/>
    </xf>
    <xf numFmtId="9" fontId="5" fillId="0" borderId="1" xfId="0" applyNumberFormat="1" applyFont="1" applyBorder="1" applyAlignment="1">
      <alignment vertical="top" wrapText="1"/>
    </xf>
    <xf numFmtId="0" fontId="4" fillId="4" borderId="1" xfId="0" applyFont="1" applyFill="1" applyBorder="1"/>
    <xf numFmtId="0" fontId="4" fillId="0" borderId="1" xfId="0" applyFont="1" applyBorder="1"/>
    <xf numFmtId="9" fontId="4" fillId="0" borderId="1" xfId="0" applyNumberFormat="1" applyFont="1" applyBorder="1"/>
    <xf numFmtId="0" fontId="5" fillId="4" borderId="1" xfId="0" applyFont="1" applyFill="1" applyBorder="1" applyAlignment="1">
      <alignment vertical="top" wrapText="1"/>
    </xf>
    <xf numFmtId="0" fontId="1" fillId="2" borderId="2" xfId="0" applyFont="1" applyFill="1" applyBorder="1" applyAlignment="1">
      <alignment vertical="center" wrapText="1"/>
    </xf>
    <xf numFmtId="0" fontId="2" fillId="0" borderId="2" xfId="0" applyFont="1" applyBorder="1" applyAlignment="1">
      <alignment vertical="top" wrapText="1"/>
    </xf>
    <xf numFmtId="0" fontId="2" fillId="0" borderId="2" xfId="0" applyFont="1" applyBorder="1" applyAlignment="1">
      <alignmen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vertical="center" wrapText="1"/>
    </xf>
    <xf numFmtId="0" fontId="2" fillId="7" borderId="1" xfId="0" applyFont="1" applyFill="1" applyBorder="1" applyAlignment="1">
      <alignment horizontal="center" vertical="top" wrapText="1"/>
    </xf>
    <xf numFmtId="0" fontId="2" fillId="7" borderId="5" xfId="0" applyFont="1" applyFill="1" applyBorder="1" applyAlignment="1">
      <alignment horizontal="left" vertical="center" wrapText="1"/>
    </xf>
    <xf numFmtId="0" fontId="2" fillId="7" borderId="1" xfId="0" applyFont="1" applyFill="1" applyBorder="1" applyAlignment="1">
      <alignment vertical="top"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6" fillId="5" borderId="3" xfId="0" applyFont="1" applyFill="1" applyBorder="1" applyAlignment="1">
      <alignment horizontal="center" vertical="top" wrapText="1"/>
    </xf>
    <xf numFmtId="0" fontId="6" fillId="5" borderId="4" xfId="0" applyFont="1" applyFill="1" applyBorder="1" applyAlignment="1">
      <alignment horizontal="center" vertical="top" wrapText="1"/>
    </xf>
    <xf numFmtId="0" fontId="6" fillId="5" borderId="2" xfId="0" applyFont="1" applyFill="1" applyBorder="1" applyAlignment="1">
      <alignment horizontal="center" vertical="top" wrapText="1"/>
    </xf>
  </cellXfs>
  <cellStyles count="1">
    <cellStyle name="Normal" xfId="0" builtinId="0"/>
  </cellStyles>
  <dxfs count="1">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EAF8"/>
      <rgbColor rgb="FFEAF4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82873"/>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Normal="100" workbookViewId="0">
      <pane ySplit="1" topLeftCell="A2" activePane="bottomLeft" state="frozen"/>
      <selection pane="bottomLeft" activeCell="D15" sqref="D15"/>
    </sheetView>
  </sheetViews>
  <sheetFormatPr defaultColWidth="8.6640625" defaultRowHeight="14.4" x14ac:dyDescent="0.3"/>
  <cols>
    <col min="1" max="1" width="10" customWidth="1"/>
    <col min="2" max="2" width="30" customWidth="1"/>
    <col min="3" max="3" width="80" customWidth="1"/>
    <col min="4" max="4" width="45" customWidth="1"/>
    <col min="5" max="5" width="20" customWidth="1"/>
    <col min="6" max="6" width="14" customWidth="1"/>
    <col min="7" max="7" width="35" customWidth="1"/>
    <col min="8" max="8" width="14" customWidth="1"/>
  </cols>
  <sheetData>
    <row r="1" spans="1:8" ht="28.8" x14ac:dyDescent="0.3">
      <c r="A1" s="1" t="s">
        <v>0</v>
      </c>
      <c r="B1" s="1" t="s">
        <v>1</v>
      </c>
      <c r="C1" s="1" t="s">
        <v>2</v>
      </c>
      <c r="D1" s="1" t="s">
        <v>3</v>
      </c>
      <c r="E1" s="1" t="s">
        <v>4</v>
      </c>
      <c r="F1" s="1" t="s">
        <v>5</v>
      </c>
      <c r="G1" s="1" t="s">
        <v>6</v>
      </c>
      <c r="H1" s="11" t="s">
        <v>7</v>
      </c>
    </row>
    <row r="2" spans="1:8" x14ac:dyDescent="0.3">
      <c r="A2" s="14">
        <v>1</v>
      </c>
      <c r="B2" s="15" t="s">
        <v>8</v>
      </c>
      <c r="C2" s="15" t="s">
        <v>9</v>
      </c>
      <c r="D2" s="2"/>
      <c r="E2" s="2"/>
      <c r="F2" s="2"/>
      <c r="G2" s="2"/>
      <c r="H2" s="12" t="s">
        <v>10</v>
      </c>
    </row>
    <row r="3" spans="1:8" x14ac:dyDescent="0.3">
      <c r="A3" s="14">
        <v>2</v>
      </c>
      <c r="B3" s="15" t="s">
        <v>11</v>
      </c>
      <c r="C3" s="15" t="s">
        <v>12</v>
      </c>
      <c r="D3" s="2"/>
      <c r="E3" s="2"/>
      <c r="F3" s="2"/>
      <c r="G3" s="2"/>
      <c r="H3" s="12" t="s">
        <v>10</v>
      </c>
    </row>
    <row r="4" spans="1:8" x14ac:dyDescent="0.3">
      <c r="A4" s="14">
        <v>3</v>
      </c>
      <c r="B4" s="15" t="s">
        <v>13</v>
      </c>
      <c r="C4" s="15" t="s">
        <v>14</v>
      </c>
      <c r="D4" s="2"/>
      <c r="E4" s="2"/>
      <c r="F4" s="2"/>
      <c r="G4" s="2"/>
      <c r="H4" s="12" t="s">
        <v>10</v>
      </c>
    </row>
    <row r="5" spans="1:8" x14ac:dyDescent="0.3">
      <c r="A5" s="14">
        <v>4</v>
      </c>
      <c r="B5" s="15" t="s">
        <v>15</v>
      </c>
      <c r="C5" s="15" t="s">
        <v>16</v>
      </c>
      <c r="D5" s="2"/>
      <c r="E5" s="2"/>
      <c r="F5" s="2"/>
      <c r="G5" s="2"/>
      <c r="H5" s="12" t="s">
        <v>10</v>
      </c>
    </row>
    <row r="6" spans="1:8" ht="28.8" x14ac:dyDescent="0.3">
      <c r="A6" s="14">
        <v>5</v>
      </c>
      <c r="B6" s="15" t="s">
        <v>17</v>
      </c>
      <c r="C6" s="15" t="s">
        <v>18</v>
      </c>
      <c r="D6" s="2"/>
      <c r="E6" s="2"/>
      <c r="F6" s="2"/>
      <c r="G6" s="2"/>
      <c r="H6" s="12" t="s">
        <v>10</v>
      </c>
    </row>
    <row r="7" spans="1:8" x14ac:dyDescent="0.3">
      <c r="A7" s="14">
        <v>6</v>
      </c>
      <c r="B7" s="15" t="s">
        <v>19</v>
      </c>
      <c r="C7" s="15" t="s">
        <v>20</v>
      </c>
      <c r="D7" s="2"/>
      <c r="E7" s="2"/>
      <c r="F7" s="2"/>
      <c r="G7" s="2"/>
      <c r="H7" s="12" t="s">
        <v>10</v>
      </c>
    </row>
    <row r="8" spans="1:8" x14ac:dyDescent="0.3">
      <c r="A8" s="14">
        <v>7</v>
      </c>
      <c r="B8" s="15" t="s">
        <v>21</v>
      </c>
      <c r="C8" s="15" t="s">
        <v>22</v>
      </c>
      <c r="D8" s="2"/>
      <c r="E8" s="2"/>
      <c r="F8" s="2"/>
      <c r="G8" s="2"/>
      <c r="H8" s="12" t="s">
        <v>10</v>
      </c>
    </row>
    <row r="9" spans="1:8" ht="28.8" x14ac:dyDescent="0.3">
      <c r="A9" s="14">
        <v>8</v>
      </c>
      <c r="B9" s="15" t="s">
        <v>23</v>
      </c>
      <c r="C9" s="15" t="s">
        <v>24</v>
      </c>
      <c r="D9" s="2"/>
      <c r="E9" s="2"/>
      <c r="F9" s="2"/>
      <c r="G9" s="2"/>
      <c r="H9" s="12" t="s">
        <v>10</v>
      </c>
    </row>
    <row r="10" spans="1:8" x14ac:dyDescent="0.3">
      <c r="A10" s="14">
        <v>9</v>
      </c>
      <c r="B10" s="15" t="s">
        <v>25</v>
      </c>
      <c r="C10" s="15" t="s">
        <v>26</v>
      </c>
      <c r="D10" s="2"/>
      <c r="E10" s="2"/>
      <c r="F10" s="2"/>
      <c r="G10" s="2"/>
      <c r="H10" s="12" t="s">
        <v>10</v>
      </c>
    </row>
    <row r="11" spans="1:8" x14ac:dyDescent="0.3">
      <c r="A11" s="14">
        <v>10</v>
      </c>
      <c r="B11" s="15" t="s">
        <v>27</v>
      </c>
      <c r="C11" s="15" t="s">
        <v>28</v>
      </c>
      <c r="D11" s="2"/>
      <c r="E11" s="2"/>
      <c r="F11" s="2"/>
      <c r="G11" s="2"/>
      <c r="H11" s="12" t="s">
        <v>10</v>
      </c>
    </row>
    <row r="12" spans="1:8" ht="28.8" x14ac:dyDescent="0.3">
      <c r="A12" s="14">
        <v>11</v>
      </c>
      <c r="B12" s="15" t="s">
        <v>29</v>
      </c>
      <c r="C12" s="15" t="s">
        <v>30</v>
      </c>
      <c r="D12" s="2"/>
      <c r="E12" s="2"/>
      <c r="F12" s="2"/>
      <c r="G12" s="2"/>
      <c r="H12" s="12" t="s">
        <v>10</v>
      </c>
    </row>
    <row r="13" spans="1:8" ht="28.8" x14ac:dyDescent="0.3">
      <c r="A13" s="14">
        <v>12</v>
      </c>
      <c r="B13" s="15" t="s">
        <v>31</v>
      </c>
      <c r="C13" s="15" t="s">
        <v>32</v>
      </c>
      <c r="D13" s="2"/>
      <c r="E13" s="2"/>
      <c r="F13" s="2"/>
      <c r="G13" s="2"/>
      <c r="H13" s="13" t="s">
        <v>10</v>
      </c>
    </row>
    <row r="14" spans="1:8" x14ac:dyDescent="0.3">
      <c r="A14" s="14">
        <v>13</v>
      </c>
      <c r="B14" s="15" t="s">
        <v>33</v>
      </c>
      <c r="C14" s="15" t="s">
        <v>34</v>
      </c>
      <c r="D14" s="2"/>
      <c r="E14" s="2"/>
      <c r="F14" s="2"/>
      <c r="G14" s="2"/>
      <c r="H14" s="13" t="s">
        <v>10</v>
      </c>
    </row>
    <row r="15" spans="1:8" x14ac:dyDescent="0.3">
      <c r="A15" s="14">
        <v>14</v>
      </c>
      <c r="B15" s="15" t="s">
        <v>35</v>
      </c>
      <c r="C15" s="15" t="s">
        <v>36</v>
      </c>
      <c r="D15" s="2"/>
      <c r="E15" s="2"/>
      <c r="F15" s="2"/>
      <c r="G15" s="2"/>
      <c r="H15" s="13" t="s">
        <v>10</v>
      </c>
    </row>
    <row r="16" spans="1:8" x14ac:dyDescent="0.3">
      <c r="A16" s="14">
        <v>15</v>
      </c>
      <c r="B16" s="15" t="s">
        <v>37</v>
      </c>
      <c r="C16" s="15" t="s">
        <v>38</v>
      </c>
      <c r="D16" s="2"/>
      <c r="E16" s="2"/>
      <c r="F16" s="2"/>
      <c r="G16" s="2"/>
      <c r="H16" s="13" t="s">
        <v>10</v>
      </c>
    </row>
    <row r="17" spans="1:8" x14ac:dyDescent="0.3">
      <c r="A17" s="14">
        <v>16</v>
      </c>
      <c r="B17" s="15" t="s">
        <v>39</v>
      </c>
      <c r="C17" s="15" t="s">
        <v>40</v>
      </c>
      <c r="D17" s="2"/>
      <c r="E17" s="2"/>
      <c r="F17" s="2"/>
      <c r="G17" s="2"/>
      <c r="H17" s="13" t="s">
        <v>10</v>
      </c>
    </row>
    <row r="18" spans="1:8" ht="28.8" x14ac:dyDescent="0.3">
      <c r="A18" s="14">
        <v>17</v>
      </c>
      <c r="B18" s="15" t="s">
        <v>41</v>
      </c>
      <c r="C18" s="15" t="s">
        <v>42</v>
      </c>
      <c r="D18" s="2"/>
      <c r="E18" s="2"/>
      <c r="F18" s="2"/>
      <c r="G18" s="2"/>
      <c r="H18" s="13" t="s">
        <v>10</v>
      </c>
    </row>
    <row r="19" spans="1:8" x14ac:dyDescent="0.3">
      <c r="A19" s="14">
        <v>18</v>
      </c>
      <c r="B19" s="15" t="s">
        <v>43</v>
      </c>
      <c r="C19" s="15" t="s">
        <v>44</v>
      </c>
      <c r="D19" s="2"/>
      <c r="E19" s="2"/>
      <c r="F19" s="2"/>
      <c r="G19" s="2"/>
      <c r="H19" s="13" t="s">
        <v>10</v>
      </c>
    </row>
    <row r="20" spans="1:8" ht="28.8" x14ac:dyDescent="0.3">
      <c r="A20" s="14">
        <v>19</v>
      </c>
      <c r="B20" s="15" t="s">
        <v>72</v>
      </c>
      <c r="C20" s="15" t="s">
        <v>73</v>
      </c>
      <c r="D20" s="2"/>
      <c r="E20" s="2"/>
      <c r="F20" s="2"/>
      <c r="G20" s="2"/>
      <c r="H20" s="13" t="s">
        <v>10</v>
      </c>
    </row>
    <row r="21" spans="1:8" ht="28.8" x14ac:dyDescent="0.3">
      <c r="A21" s="14">
        <v>20</v>
      </c>
      <c r="B21" s="15" t="s">
        <v>74</v>
      </c>
      <c r="C21" s="15" t="s">
        <v>75</v>
      </c>
      <c r="D21" s="2"/>
      <c r="E21" s="2"/>
      <c r="F21" s="2"/>
      <c r="G21" s="2"/>
      <c r="H21" s="13" t="s">
        <v>10</v>
      </c>
    </row>
    <row r="22" spans="1:8" ht="28.8" x14ac:dyDescent="0.3">
      <c r="A22" s="14">
        <v>21</v>
      </c>
      <c r="B22" s="15" t="s">
        <v>76</v>
      </c>
      <c r="C22" s="15" t="s">
        <v>77</v>
      </c>
      <c r="D22" s="2"/>
      <c r="E22" s="2"/>
      <c r="F22" s="2"/>
      <c r="G22" s="2"/>
      <c r="H22" s="13" t="s">
        <v>10</v>
      </c>
    </row>
    <row r="23" spans="1:8" ht="28.8" x14ac:dyDescent="0.3">
      <c r="A23" s="14">
        <v>22</v>
      </c>
      <c r="B23" s="15" t="s">
        <v>78</v>
      </c>
      <c r="C23" s="15" t="s">
        <v>79</v>
      </c>
      <c r="D23" s="2"/>
      <c r="E23" s="2"/>
      <c r="F23" s="2"/>
      <c r="G23" s="2"/>
      <c r="H23" s="13" t="s">
        <v>10</v>
      </c>
    </row>
    <row r="24" spans="1:8" ht="28.8" x14ac:dyDescent="0.3">
      <c r="A24" s="14">
        <v>23</v>
      </c>
      <c r="B24" s="15" t="s">
        <v>80</v>
      </c>
      <c r="C24" s="15" t="s">
        <v>81</v>
      </c>
      <c r="D24" s="2"/>
      <c r="E24" s="2"/>
      <c r="F24" s="2"/>
      <c r="G24" s="2"/>
      <c r="H24" s="13" t="s">
        <v>10</v>
      </c>
    </row>
    <row r="25" spans="1:8" ht="28.8" x14ac:dyDescent="0.3">
      <c r="A25" s="14">
        <v>24</v>
      </c>
      <c r="B25" s="15" t="s">
        <v>82</v>
      </c>
      <c r="C25" s="15" t="s">
        <v>83</v>
      </c>
      <c r="D25" s="2"/>
      <c r="E25" s="2"/>
      <c r="F25" s="2"/>
      <c r="G25" s="2"/>
      <c r="H25" s="13" t="s">
        <v>10</v>
      </c>
    </row>
    <row r="26" spans="1:8" x14ac:dyDescent="0.3">
      <c r="A26" s="14">
        <v>25</v>
      </c>
      <c r="B26" s="15" t="s">
        <v>45</v>
      </c>
      <c r="C26" s="15" t="s">
        <v>46</v>
      </c>
      <c r="D26" s="2"/>
      <c r="E26" s="2"/>
      <c r="F26" s="2"/>
      <c r="G26" s="2"/>
      <c r="H26" s="13" t="s">
        <v>10</v>
      </c>
    </row>
    <row r="27" spans="1:8" ht="28.8" x14ac:dyDescent="0.3">
      <c r="A27" s="14">
        <v>26</v>
      </c>
      <c r="B27" s="15" t="s">
        <v>47</v>
      </c>
      <c r="C27" s="15" t="s">
        <v>48</v>
      </c>
      <c r="D27" s="2"/>
      <c r="E27" s="2"/>
      <c r="F27" s="2"/>
      <c r="G27" s="2"/>
      <c r="H27" s="13" t="s">
        <v>10</v>
      </c>
    </row>
    <row r="28" spans="1:8" ht="21" x14ac:dyDescent="0.3">
      <c r="A28" s="21" t="s">
        <v>174</v>
      </c>
      <c r="B28" s="22"/>
      <c r="C28" s="22"/>
      <c r="D28" s="22"/>
      <c r="E28" s="22"/>
      <c r="F28" s="22"/>
      <c r="G28" s="22"/>
      <c r="H28" s="23"/>
    </row>
    <row r="29" spans="1:8" ht="28.8" x14ac:dyDescent="0.3">
      <c r="A29" s="16">
        <v>1</v>
      </c>
      <c r="B29" s="17" t="s">
        <v>175</v>
      </c>
      <c r="C29" s="18" t="s">
        <v>49</v>
      </c>
      <c r="D29" s="2"/>
      <c r="E29" s="2"/>
      <c r="F29" s="2"/>
      <c r="G29" s="2"/>
      <c r="H29" s="12" t="s">
        <v>10</v>
      </c>
    </row>
    <row r="30" spans="1:8" ht="28.8" x14ac:dyDescent="0.3">
      <c r="A30" s="16">
        <v>2</v>
      </c>
      <c r="B30" s="19"/>
      <c r="C30" s="18" t="s">
        <v>50</v>
      </c>
      <c r="D30" s="2"/>
      <c r="E30" s="2"/>
      <c r="F30" s="2"/>
      <c r="G30" s="2"/>
      <c r="H30" s="12" t="s">
        <v>10</v>
      </c>
    </row>
    <row r="31" spans="1:8" ht="28.8" x14ac:dyDescent="0.3">
      <c r="A31" s="16">
        <v>3</v>
      </c>
      <c r="B31" s="19"/>
      <c r="C31" s="18" t="s">
        <v>51</v>
      </c>
      <c r="D31" s="2"/>
      <c r="E31" s="2"/>
      <c r="F31" s="2"/>
      <c r="G31" s="2"/>
      <c r="H31" s="12" t="s">
        <v>10</v>
      </c>
    </row>
    <row r="32" spans="1:8" ht="28.8" x14ac:dyDescent="0.3">
      <c r="A32" s="16">
        <v>4</v>
      </c>
      <c r="B32" s="19"/>
      <c r="C32" s="18" t="s">
        <v>52</v>
      </c>
      <c r="D32" s="2"/>
      <c r="E32" s="2"/>
      <c r="F32" s="2"/>
      <c r="G32" s="2"/>
      <c r="H32" s="12" t="s">
        <v>10</v>
      </c>
    </row>
    <row r="33" spans="1:8" ht="43.2" x14ac:dyDescent="0.3">
      <c r="A33" s="16">
        <v>5</v>
      </c>
      <c r="B33" s="19"/>
      <c r="C33" s="18" t="s">
        <v>53</v>
      </c>
      <c r="D33" s="2"/>
      <c r="E33" s="2"/>
      <c r="F33" s="2"/>
      <c r="G33" s="2"/>
      <c r="H33" s="12" t="s">
        <v>10</v>
      </c>
    </row>
    <row r="34" spans="1:8" ht="28.8" x14ac:dyDescent="0.3">
      <c r="A34" s="16">
        <v>6</v>
      </c>
      <c r="B34" s="19"/>
      <c r="C34" s="18" t="s">
        <v>54</v>
      </c>
      <c r="D34" s="2"/>
      <c r="E34" s="2"/>
      <c r="F34" s="2"/>
      <c r="G34" s="2"/>
      <c r="H34" s="12" t="s">
        <v>10</v>
      </c>
    </row>
    <row r="35" spans="1:8" ht="43.2" x14ac:dyDescent="0.3">
      <c r="A35" s="16">
        <v>7</v>
      </c>
      <c r="B35" s="20"/>
      <c r="C35" s="18" t="s">
        <v>55</v>
      </c>
      <c r="D35" s="2"/>
      <c r="E35" s="2"/>
      <c r="F35" s="2"/>
      <c r="G35" s="2"/>
      <c r="H35" s="12" t="s">
        <v>10</v>
      </c>
    </row>
    <row r="36" spans="1:8" ht="57.6" x14ac:dyDescent="0.3">
      <c r="A36" s="16">
        <v>8</v>
      </c>
      <c r="B36" s="17" t="s">
        <v>176</v>
      </c>
      <c r="C36" s="18" t="s">
        <v>56</v>
      </c>
      <c r="D36" s="2"/>
      <c r="E36" s="2"/>
      <c r="F36" s="2"/>
      <c r="G36" s="2"/>
      <c r="H36" s="12" t="s">
        <v>10</v>
      </c>
    </row>
    <row r="37" spans="1:8" ht="43.2" x14ac:dyDescent="0.3">
      <c r="A37" s="16">
        <v>9</v>
      </c>
      <c r="B37" s="19"/>
      <c r="C37" s="18" t="s">
        <v>57</v>
      </c>
      <c r="D37" s="2"/>
      <c r="E37" s="2"/>
      <c r="F37" s="2"/>
      <c r="G37" s="2"/>
      <c r="H37" s="12" t="s">
        <v>10</v>
      </c>
    </row>
    <row r="38" spans="1:8" ht="43.2" x14ac:dyDescent="0.3">
      <c r="A38" s="16">
        <v>10</v>
      </c>
      <c r="B38" s="19"/>
      <c r="C38" s="18" t="s">
        <v>58</v>
      </c>
      <c r="D38" s="2"/>
      <c r="E38" s="2"/>
      <c r="F38" s="2"/>
      <c r="G38" s="2"/>
      <c r="H38" s="12" t="s">
        <v>10</v>
      </c>
    </row>
    <row r="39" spans="1:8" ht="28.8" x14ac:dyDescent="0.3">
      <c r="A39" s="16">
        <v>11</v>
      </c>
      <c r="B39" s="20"/>
      <c r="C39" s="18" t="s">
        <v>59</v>
      </c>
      <c r="D39" s="2"/>
      <c r="E39" s="2"/>
      <c r="F39" s="2"/>
      <c r="G39" s="2"/>
      <c r="H39" s="12" t="s">
        <v>10</v>
      </c>
    </row>
    <row r="40" spans="1:8" ht="28.8" x14ac:dyDescent="0.3">
      <c r="A40" s="16">
        <v>12</v>
      </c>
      <c r="B40" s="17" t="s">
        <v>178</v>
      </c>
      <c r="C40" s="18" t="s">
        <v>60</v>
      </c>
      <c r="D40" s="2"/>
      <c r="E40" s="2"/>
      <c r="F40" s="2"/>
      <c r="G40" s="2"/>
      <c r="H40" s="12" t="s">
        <v>10</v>
      </c>
    </row>
    <row r="41" spans="1:8" ht="28.8" x14ac:dyDescent="0.3">
      <c r="A41" s="16">
        <v>13</v>
      </c>
      <c r="B41" s="19"/>
      <c r="C41" s="18" t="s">
        <v>61</v>
      </c>
      <c r="D41" s="2"/>
      <c r="E41" s="2"/>
      <c r="F41" s="2"/>
      <c r="G41" s="2"/>
      <c r="H41" s="12" t="s">
        <v>10</v>
      </c>
    </row>
    <row r="42" spans="1:8" ht="28.8" x14ac:dyDescent="0.3">
      <c r="A42" s="16">
        <v>14</v>
      </c>
      <c r="B42" s="19"/>
      <c r="C42" s="18" t="s">
        <v>62</v>
      </c>
      <c r="D42" s="2"/>
      <c r="E42" s="2"/>
      <c r="F42" s="2"/>
      <c r="G42" s="2"/>
      <c r="H42" s="12" t="s">
        <v>10</v>
      </c>
    </row>
    <row r="43" spans="1:8" ht="43.2" x14ac:dyDescent="0.3">
      <c r="A43" s="16">
        <v>15</v>
      </c>
      <c r="B43" s="19"/>
      <c r="C43" s="18" t="s">
        <v>63</v>
      </c>
      <c r="D43" s="2"/>
      <c r="E43" s="2"/>
      <c r="F43" s="2"/>
      <c r="G43" s="2"/>
      <c r="H43" s="12" t="s">
        <v>10</v>
      </c>
    </row>
    <row r="44" spans="1:8" ht="28.8" x14ac:dyDescent="0.3">
      <c r="A44" s="16">
        <v>16</v>
      </c>
      <c r="B44" s="20"/>
      <c r="C44" s="18" t="s">
        <v>64</v>
      </c>
      <c r="D44" s="2"/>
      <c r="E44" s="2"/>
      <c r="F44" s="2"/>
      <c r="G44" s="2"/>
      <c r="H44" s="12" t="s">
        <v>10</v>
      </c>
    </row>
    <row r="45" spans="1:8" ht="28.8" x14ac:dyDescent="0.3">
      <c r="A45" s="16">
        <v>17</v>
      </c>
      <c r="B45" s="17" t="s">
        <v>177</v>
      </c>
      <c r="C45" s="18" t="s">
        <v>65</v>
      </c>
      <c r="D45" s="2"/>
      <c r="E45" s="2"/>
      <c r="F45" s="2"/>
      <c r="G45" s="2"/>
      <c r="H45" s="12" t="s">
        <v>10</v>
      </c>
    </row>
    <row r="46" spans="1:8" ht="28.8" x14ac:dyDescent="0.3">
      <c r="A46" s="16">
        <v>18</v>
      </c>
      <c r="B46" s="19"/>
      <c r="C46" s="18" t="s">
        <v>66</v>
      </c>
      <c r="D46" s="2"/>
      <c r="E46" s="2"/>
      <c r="F46" s="2"/>
      <c r="G46" s="2"/>
      <c r="H46" s="12" t="s">
        <v>10</v>
      </c>
    </row>
    <row r="47" spans="1:8" ht="28.8" x14ac:dyDescent="0.3">
      <c r="A47" s="16">
        <v>19</v>
      </c>
      <c r="B47" s="19"/>
      <c r="C47" s="18" t="s">
        <v>67</v>
      </c>
      <c r="D47" s="2"/>
      <c r="E47" s="2"/>
      <c r="F47" s="2"/>
      <c r="G47" s="2"/>
      <c r="H47" s="12" t="s">
        <v>10</v>
      </c>
    </row>
    <row r="48" spans="1:8" ht="28.8" x14ac:dyDescent="0.3">
      <c r="A48" s="16">
        <v>20</v>
      </c>
      <c r="B48" s="19"/>
      <c r="C48" s="18" t="s">
        <v>68</v>
      </c>
      <c r="D48" s="2"/>
      <c r="E48" s="2"/>
      <c r="F48" s="2"/>
      <c r="G48" s="2"/>
      <c r="H48" s="12" t="s">
        <v>10</v>
      </c>
    </row>
    <row r="49" spans="1:8" ht="28.8" x14ac:dyDescent="0.3">
      <c r="A49" s="16">
        <v>21</v>
      </c>
      <c r="B49" s="19"/>
      <c r="C49" s="18" t="s">
        <v>69</v>
      </c>
      <c r="D49" s="2"/>
      <c r="E49" s="2"/>
      <c r="F49" s="2"/>
      <c r="G49" s="2"/>
      <c r="H49" s="12" t="s">
        <v>10</v>
      </c>
    </row>
    <row r="50" spans="1:8" ht="28.8" x14ac:dyDescent="0.3">
      <c r="A50" s="16">
        <v>22</v>
      </c>
      <c r="B50" s="19"/>
      <c r="C50" s="18" t="s">
        <v>70</v>
      </c>
      <c r="D50" s="2"/>
      <c r="E50" s="2"/>
      <c r="F50" s="2"/>
      <c r="G50" s="2"/>
      <c r="H50" s="12" t="s">
        <v>10</v>
      </c>
    </row>
    <row r="51" spans="1:8" ht="28.8" x14ac:dyDescent="0.3">
      <c r="A51" s="16">
        <v>23</v>
      </c>
      <c r="B51" s="20"/>
      <c r="C51" s="18" t="s">
        <v>71</v>
      </c>
      <c r="D51" s="2"/>
      <c r="E51" s="2"/>
      <c r="F51" s="2"/>
      <c r="G51" s="2"/>
      <c r="H51" s="12" t="s">
        <v>10</v>
      </c>
    </row>
  </sheetData>
  <autoFilter ref="A1:H51" xr:uid="{00000000-0009-0000-0000-000000000000}"/>
  <mergeCells count="5">
    <mergeCell ref="A28:H28"/>
    <mergeCell ref="B29:B35"/>
    <mergeCell ref="B36:B39"/>
    <mergeCell ref="B40:B44"/>
    <mergeCell ref="B45:B51"/>
  </mergeCells>
  <dataValidations count="2">
    <dataValidation type="list" allowBlank="1" sqref="F2:F27 F29:F51" xr:uid="{00000000-0002-0000-0000-000001000000}">
      <formula1>"High,Medium,Low,No gap,Not assessed"</formula1>
      <formula2>0</formula2>
    </dataValidation>
    <dataValidation type="list" allowBlank="1" sqref="H2:H27 H29:H51" xr:uid="{00000000-0002-0000-0000-000002000000}">
      <formula1>"Open,Awaiting client,Answered,Follow-up required,Closed,Not applicable"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
  <sheetViews>
    <sheetView zoomScaleNormal="100" workbookViewId="0">
      <pane xSplit="1" ySplit="1" topLeftCell="M2" activePane="bottomRight" state="frozen"/>
      <selection pane="topRight" activeCell="B1" sqref="B1"/>
      <selection pane="bottomLeft" activeCell="A2" sqref="A2"/>
      <selection pane="bottomRight" activeCell="Y2" sqref="Y2"/>
    </sheetView>
  </sheetViews>
  <sheetFormatPr defaultColWidth="8.6640625" defaultRowHeight="14.4" x14ac:dyDescent="0.3"/>
  <cols>
    <col min="1" max="1" width="34" customWidth="1"/>
    <col min="2" max="2" width="22" customWidth="1"/>
    <col min="3" max="3" width="13" customWidth="1"/>
    <col min="4" max="4" width="12" customWidth="1"/>
    <col min="5" max="5" width="11" customWidth="1"/>
    <col min="6" max="7" width="12" customWidth="1"/>
    <col min="8" max="8" width="11" customWidth="1"/>
    <col min="9" max="9" width="26" customWidth="1"/>
    <col min="10" max="10" width="18" customWidth="1"/>
    <col min="11" max="11" width="24" customWidth="1"/>
    <col min="12" max="13" width="16" customWidth="1"/>
    <col min="14" max="14" width="22" customWidth="1"/>
    <col min="15" max="15" width="11" customWidth="1"/>
    <col min="16" max="16" width="18" customWidth="1"/>
    <col min="17" max="19" width="11" customWidth="1"/>
    <col min="20" max="20" width="20" customWidth="1"/>
    <col min="21" max="21" width="13" customWidth="1"/>
    <col min="22" max="22" width="18" customWidth="1"/>
    <col min="23" max="23" width="28" customWidth="1"/>
    <col min="24" max="24" width="24" customWidth="1"/>
    <col min="25" max="25" width="13" customWidth="1"/>
    <col min="26" max="26" width="12" customWidth="1"/>
    <col min="27" max="27" width="32" customWidth="1"/>
  </cols>
  <sheetData>
    <row r="1" spans="1:27" ht="51.75" customHeight="1" x14ac:dyDescent="0.3">
      <c r="A1" s="3" t="s">
        <v>84</v>
      </c>
      <c r="B1" s="3" t="s">
        <v>85</v>
      </c>
      <c r="C1" s="3" t="s">
        <v>86</v>
      </c>
      <c r="D1" s="3" t="s">
        <v>87</v>
      </c>
      <c r="E1" s="3" t="s">
        <v>88</v>
      </c>
      <c r="F1" s="3" t="s">
        <v>89</v>
      </c>
      <c r="G1" s="3" t="s">
        <v>90</v>
      </c>
      <c r="H1" s="3" t="s">
        <v>91</v>
      </c>
      <c r="I1" s="3" t="s">
        <v>92</v>
      </c>
      <c r="J1" s="3" t="s">
        <v>93</v>
      </c>
      <c r="K1" s="3" t="s">
        <v>94</v>
      </c>
      <c r="L1" s="3" t="s">
        <v>95</v>
      </c>
      <c r="M1" s="3" t="s">
        <v>96</v>
      </c>
      <c r="N1" s="3" t="s">
        <v>97</v>
      </c>
      <c r="O1" s="3" t="s">
        <v>98</v>
      </c>
      <c r="P1" s="3" t="s">
        <v>99</v>
      </c>
      <c r="Q1" s="3" t="s">
        <v>100</v>
      </c>
      <c r="R1" s="3" t="s">
        <v>101</v>
      </c>
      <c r="S1" s="3" t="s">
        <v>102</v>
      </c>
      <c r="T1" s="3" t="s">
        <v>103</v>
      </c>
      <c r="U1" s="3" t="s">
        <v>104</v>
      </c>
      <c r="V1" s="3" t="s">
        <v>105</v>
      </c>
      <c r="W1" s="3" t="s">
        <v>106</v>
      </c>
      <c r="X1" s="3" t="s">
        <v>107</v>
      </c>
      <c r="Y1" s="3" t="s">
        <v>108</v>
      </c>
      <c r="Z1" s="3" t="s">
        <v>5</v>
      </c>
      <c r="AA1" s="3" t="s">
        <v>109</v>
      </c>
    </row>
    <row r="2" spans="1:27" x14ac:dyDescent="0.3">
      <c r="A2" s="4" t="s">
        <v>110</v>
      </c>
      <c r="B2" s="5"/>
      <c r="C2" s="5"/>
      <c r="D2" s="5">
        <v>0</v>
      </c>
      <c r="E2" s="5">
        <v>0</v>
      </c>
      <c r="F2" s="5"/>
      <c r="G2" s="5">
        <f t="shared" ref="G2:G21" si="0">IF(OR(D2="",E2=""),"",D2-E2-N(F2))</f>
        <v>0</v>
      </c>
      <c r="H2" s="6" t="str">
        <f t="shared" ref="H2:H21" si="1">IF(OR(D2="",E2="",D2=0),"",E2/D2)</f>
        <v/>
      </c>
      <c r="I2" s="5"/>
      <c r="J2" s="5"/>
      <c r="K2" s="5"/>
      <c r="L2" s="5"/>
      <c r="M2" s="5"/>
      <c r="N2" s="5"/>
      <c r="O2" s="5"/>
      <c r="P2" s="5"/>
      <c r="Q2" s="5"/>
      <c r="R2" s="5"/>
      <c r="S2" s="5"/>
      <c r="T2" s="5"/>
      <c r="U2" s="5"/>
      <c r="V2" s="5"/>
      <c r="W2" s="5"/>
      <c r="X2" s="5"/>
      <c r="Y2" s="5" t="s">
        <v>111</v>
      </c>
      <c r="Z2" s="5"/>
      <c r="AA2" s="5"/>
    </row>
    <row r="3" spans="1:27" x14ac:dyDescent="0.3">
      <c r="A3" s="4" t="s">
        <v>112</v>
      </c>
      <c r="B3" s="5"/>
      <c r="C3" s="5"/>
      <c r="D3" s="5"/>
      <c r="E3" s="5"/>
      <c r="F3" s="5"/>
      <c r="G3" s="5" t="str">
        <f t="shared" si="0"/>
        <v/>
      </c>
      <c r="H3" s="6" t="str">
        <f t="shared" si="1"/>
        <v/>
      </c>
      <c r="I3" s="5"/>
      <c r="J3" s="5"/>
      <c r="K3" s="5"/>
      <c r="L3" s="5"/>
      <c r="M3" s="5"/>
      <c r="N3" s="5"/>
      <c r="O3" s="5"/>
      <c r="P3" s="5"/>
      <c r="Q3" s="5"/>
      <c r="R3" s="5"/>
      <c r="S3" s="5"/>
      <c r="T3" s="5"/>
      <c r="U3" s="5"/>
      <c r="V3" s="5"/>
      <c r="W3" s="5"/>
      <c r="X3" s="5"/>
      <c r="Y3" s="5" t="s">
        <v>111</v>
      </c>
      <c r="Z3" s="5"/>
      <c r="AA3" s="5"/>
    </row>
    <row r="4" spans="1:27" x14ac:dyDescent="0.3">
      <c r="A4" s="4" t="s">
        <v>113</v>
      </c>
      <c r="B4" s="5"/>
      <c r="C4" s="5"/>
      <c r="D4" s="5"/>
      <c r="E4" s="5"/>
      <c r="F4" s="5"/>
      <c r="G4" s="5" t="str">
        <f t="shared" si="0"/>
        <v/>
      </c>
      <c r="H4" s="6" t="str">
        <f t="shared" si="1"/>
        <v/>
      </c>
      <c r="I4" s="5"/>
      <c r="J4" s="5"/>
      <c r="K4" s="5"/>
      <c r="L4" s="5"/>
      <c r="M4" s="5"/>
      <c r="N4" s="5"/>
      <c r="O4" s="5"/>
      <c r="P4" s="5"/>
      <c r="Q4" s="5"/>
      <c r="R4" s="5"/>
      <c r="S4" s="5"/>
      <c r="T4" s="5"/>
      <c r="U4" s="5"/>
      <c r="V4" s="5"/>
      <c r="W4" s="5"/>
      <c r="X4" s="5"/>
      <c r="Y4" s="5" t="s">
        <v>111</v>
      </c>
      <c r="Z4" s="5"/>
      <c r="AA4" s="5"/>
    </row>
    <row r="5" spans="1:27" x14ac:dyDescent="0.3">
      <c r="A5" s="4" t="s">
        <v>114</v>
      </c>
      <c r="B5" s="5"/>
      <c r="C5" s="5"/>
      <c r="D5" s="5"/>
      <c r="E5" s="5"/>
      <c r="F5" s="5"/>
      <c r="G5" s="5" t="str">
        <f t="shared" si="0"/>
        <v/>
      </c>
      <c r="H5" s="6" t="str">
        <f t="shared" si="1"/>
        <v/>
      </c>
      <c r="I5" s="5"/>
      <c r="J5" s="5"/>
      <c r="K5" s="5"/>
      <c r="L5" s="5"/>
      <c r="M5" s="5"/>
      <c r="N5" s="5"/>
      <c r="O5" s="5"/>
      <c r="P5" s="5"/>
      <c r="Q5" s="5"/>
      <c r="R5" s="5"/>
      <c r="S5" s="5"/>
      <c r="T5" s="5"/>
      <c r="U5" s="5"/>
      <c r="V5" s="5"/>
      <c r="W5" s="5"/>
      <c r="X5" s="5"/>
      <c r="Y5" s="5" t="s">
        <v>111</v>
      </c>
      <c r="Z5" s="5"/>
      <c r="AA5" s="5"/>
    </row>
    <row r="6" spans="1:27" x14ac:dyDescent="0.3">
      <c r="A6" s="4" t="s">
        <v>115</v>
      </c>
      <c r="B6" s="5"/>
      <c r="C6" s="5"/>
      <c r="D6" s="5"/>
      <c r="E6" s="5"/>
      <c r="F6" s="5"/>
      <c r="G6" s="5" t="str">
        <f t="shared" si="0"/>
        <v/>
      </c>
      <c r="H6" s="6" t="str">
        <f t="shared" si="1"/>
        <v/>
      </c>
      <c r="I6" s="5"/>
      <c r="J6" s="5"/>
      <c r="K6" s="5"/>
      <c r="L6" s="5"/>
      <c r="M6" s="5"/>
      <c r="N6" s="5"/>
      <c r="O6" s="5"/>
      <c r="P6" s="5"/>
      <c r="Q6" s="5"/>
      <c r="R6" s="5"/>
      <c r="S6" s="5"/>
      <c r="T6" s="5"/>
      <c r="U6" s="5"/>
      <c r="V6" s="5"/>
      <c r="W6" s="5"/>
      <c r="X6" s="5"/>
      <c r="Y6" s="5" t="s">
        <v>111</v>
      </c>
      <c r="Z6" s="5"/>
      <c r="AA6" s="5"/>
    </row>
    <row r="7" spans="1:27" x14ac:dyDescent="0.3">
      <c r="A7" s="4" t="s">
        <v>116</v>
      </c>
      <c r="B7" s="5"/>
      <c r="C7" s="5"/>
      <c r="D7" s="5"/>
      <c r="E7" s="5"/>
      <c r="F7" s="5"/>
      <c r="G7" s="5" t="str">
        <f t="shared" si="0"/>
        <v/>
      </c>
      <c r="H7" s="6" t="str">
        <f t="shared" si="1"/>
        <v/>
      </c>
      <c r="I7" s="5"/>
      <c r="J7" s="5"/>
      <c r="K7" s="5"/>
      <c r="L7" s="5"/>
      <c r="M7" s="5"/>
      <c r="N7" s="5"/>
      <c r="O7" s="5"/>
      <c r="P7" s="5"/>
      <c r="Q7" s="5"/>
      <c r="R7" s="5"/>
      <c r="S7" s="5"/>
      <c r="T7" s="5"/>
      <c r="U7" s="5"/>
      <c r="V7" s="5"/>
      <c r="W7" s="5"/>
      <c r="X7" s="5"/>
      <c r="Y7" s="5" t="s">
        <v>111</v>
      </c>
      <c r="Z7" s="5"/>
      <c r="AA7" s="5"/>
    </row>
    <row r="8" spans="1:27" x14ac:dyDescent="0.3">
      <c r="A8" s="4" t="s">
        <v>117</v>
      </c>
      <c r="B8" s="5"/>
      <c r="C8" s="5"/>
      <c r="D8" s="5"/>
      <c r="E8" s="5"/>
      <c r="F8" s="5"/>
      <c r="G8" s="5" t="str">
        <f t="shared" si="0"/>
        <v/>
      </c>
      <c r="H8" s="6" t="str">
        <f t="shared" si="1"/>
        <v/>
      </c>
      <c r="I8" s="5"/>
      <c r="J8" s="5"/>
      <c r="K8" s="5"/>
      <c r="L8" s="5"/>
      <c r="M8" s="5"/>
      <c r="N8" s="5"/>
      <c r="O8" s="5"/>
      <c r="P8" s="5"/>
      <c r="Q8" s="5"/>
      <c r="R8" s="5"/>
      <c r="S8" s="5"/>
      <c r="T8" s="5"/>
      <c r="U8" s="5"/>
      <c r="V8" s="5"/>
      <c r="W8" s="5"/>
      <c r="X8" s="5"/>
      <c r="Y8" s="5" t="s">
        <v>111</v>
      </c>
      <c r="Z8" s="5"/>
      <c r="AA8" s="5"/>
    </row>
    <row r="9" spans="1:27" x14ac:dyDescent="0.3">
      <c r="A9" s="4" t="s">
        <v>118</v>
      </c>
      <c r="B9" s="5"/>
      <c r="C9" s="5"/>
      <c r="D9" s="5"/>
      <c r="E9" s="5"/>
      <c r="F9" s="5"/>
      <c r="G9" s="5" t="str">
        <f t="shared" si="0"/>
        <v/>
      </c>
      <c r="H9" s="6" t="str">
        <f t="shared" si="1"/>
        <v/>
      </c>
      <c r="I9" s="5"/>
      <c r="J9" s="5"/>
      <c r="K9" s="5"/>
      <c r="L9" s="5"/>
      <c r="M9" s="5"/>
      <c r="N9" s="5"/>
      <c r="O9" s="5"/>
      <c r="P9" s="5"/>
      <c r="Q9" s="5"/>
      <c r="R9" s="5"/>
      <c r="S9" s="5"/>
      <c r="T9" s="5"/>
      <c r="U9" s="5"/>
      <c r="V9" s="5"/>
      <c r="W9" s="5"/>
      <c r="X9" s="5"/>
      <c r="Y9" s="5" t="s">
        <v>111</v>
      </c>
      <c r="Z9" s="5"/>
      <c r="AA9" s="5"/>
    </row>
    <row r="10" spans="1:27" x14ac:dyDescent="0.3">
      <c r="A10" s="4" t="s">
        <v>119</v>
      </c>
      <c r="B10" s="5"/>
      <c r="C10" s="5"/>
      <c r="D10" s="5"/>
      <c r="E10" s="5"/>
      <c r="F10" s="5"/>
      <c r="G10" s="5" t="str">
        <f t="shared" si="0"/>
        <v/>
      </c>
      <c r="H10" s="6" t="str">
        <f t="shared" si="1"/>
        <v/>
      </c>
      <c r="I10" s="5"/>
      <c r="J10" s="5"/>
      <c r="K10" s="5"/>
      <c r="L10" s="5"/>
      <c r="M10" s="5"/>
      <c r="N10" s="5"/>
      <c r="O10" s="5"/>
      <c r="P10" s="5"/>
      <c r="Q10" s="5"/>
      <c r="R10" s="5"/>
      <c r="S10" s="5"/>
      <c r="T10" s="5"/>
      <c r="U10" s="5"/>
      <c r="V10" s="5"/>
      <c r="W10" s="5"/>
      <c r="X10" s="5"/>
      <c r="Y10" s="5" t="s">
        <v>111</v>
      </c>
      <c r="Z10" s="5"/>
      <c r="AA10" s="5"/>
    </row>
    <row r="11" spans="1:27" x14ac:dyDescent="0.3">
      <c r="A11" s="4" t="s">
        <v>120</v>
      </c>
      <c r="B11" s="5"/>
      <c r="C11" s="5"/>
      <c r="D11" s="5"/>
      <c r="E11" s="5"/>
      <c r="F11" s="5"/>
      <c r="G11" s="5" t="str">
        <f t="shared" si="0"/>
        <v/>
      </c>
      <c r="H11" s="6" t="str">
        <f t="shared" si="1"/>
        <v/>
      </c>
      <c r="I11" s="5"/>
      <c r="J11" s="5"/>
      <c r="K11" s="5"/>
      <c r="L11" s="5"/>
      <c r="M11" s="5"/>
      <c r="N11" s="5"/>
      <c r="O11" s="5"/>
      <c r="P11" s="5"/>
      <c r="Q11" s="5"/>
      <c r="R11" s="5"/>
      <c r="S11" s="5"/>
      <c r="T11" s="5"/>
      <c r="U11" s="5"/>
      <c r="V11" s="5"/>
      <c r="W11" s="5"/>
      <c r="X11" s="5"/>
      <c r="Y11" s="5" t="s">
        <v>111</v>
      </c>
      <c r="Z11" s="5"/>
      <c r="AA11" s="5"/>
    </row>
    <row r="12" spans="1:27" x14ac:dyDescent="0.3">
      <c r="A12" s="4" t="s">
        <v>121</v>
      </c>
      <c r="B12" s="5"/>
      <c r="C12" s="5"/>
      <c r="D12" s="5"/>
      <c r="E12" s="5"/>
      <c r="F12" s="5"/>
      <c r="G12" s="5" t="str">
        <f t="shared" si="0"/>
        <v/>
      </c>
      <c r="H12" s="6" t="str">
        <f t="shared" si="1"/>
        <v/>
      </c>
      <c r="I12" s="5"/>
      <c r="J12" s="5"/>
      <c r="K12" s="5"/>
      <c r="L12" s="5"/>
      <c r="M12" s="5"/>
      <c r="N12" s="5"/>
      <c r="O12" s="5"/>
      <c r="P12" s="5"/>
      <c r="Q12" s="5"/>
      <c r="R12" s="5"/>
      <c r="S12" s="5"/>
      <c r="T12" s="5"/>
      <c r="U12" s="5"/>
      <c r="V12" s="5"/>
      <c r="W12" s="5"/>
      <c r="X12" s="5"/>
      <c r="Y12" s="5" t="s">
        <v>111</v>
      </c>
      <c r="Z12" s="5"/>
      <c r="AA12" s="5"/>
    </row>
    <row r="13" spans="1:27" x14ac:dyDescent="0.3">
      <c r="A13" s="4" t="s">
        <v>122</v>
      </c>
      <c r="B13" s="5"/>
      <c r="C13" s="5"/>
      <c r="D13" s="5"/>
      <c r="E13" s="5"/>
      <c r="F13" s="5"/>
      <c r="G13" s="5" t="str">
        <f t="shared" si="0"/>
        <v/>
      </c>
      <c r="H13" s="6" t="str">
        <f t="shared" si="1"/>
        <v/>
      </c>
      <c r="I13" s="5"/>
      <c r="J13" s="5"/>
      <c r="K13" s="5"/>
      <c r="L13" s="5"/>
      <c r="M13" s="5"/>
      <c r="N13" s="5"/>
      <c r="O13" s="5"/>
      <c r="P13" s="5"/>
      <c r="Q13" s="5"/>
      <c r="R13" s="5"/>
      <c r="S13" s="5"/>
      <c r="T13" s="5"/>
      <c r="U13" s="5"/>
      <c r="V13" s="5"/>
      <c r="W13" s="5"/>
      <c r="X13" s="5"/>
      <c r="Y13" s="5" t="s">
        <v>111</v>
      </c>
      <c r="Z13" s="5"/>
      <c r="AA13" s="5"/>
    </row>
    <row r="14" spans="1:27" x14ac:dyDescent="0.3">
      <c r="A14" s="4" t="s">
        <v>123</v>
      </c>
      <c r="B14" s="5"/>
      <c r="C14" s="5"/>
      <c r="D14" s="5"/>
      <c r="E14" s="5"/>
      <c r="F14" s="5"/>
      <c r="G14" s="5" t="str">
        <f t="shared" si="0"/>
        <v/>
      </c>
      <c r="H14" s="6" t="str">
        <f t="shared" si="1"/>
        <v/>
      </c>
      <c r="I14" s="5"/>
      <c r="J14" s="5"/>
      <c r="K14" s="5"/>
      <c r="L14" s="5"/>
      <c r="M14" s="5"/>
      <c r="N14" s="5"/>
      <c r="O14" s="5"/>
      <c r="P14" s="5"/>
      <c r="Q14" s="5"/>
      <c r="R14" s="5"/>
      <c r="S14" s="5"/>
      <c r="T14" s="5"/>
      <c r="U14" s="5"/>
      <c r="V14" s="5"/>
      <c r="W14" s="5"/>
      <c r="X14" s="5"/>
      <c r="Y14" s="5" t="s">
        <v>111</v>
      </c>
      <c r="Z14" s="5"/>
      <c r="AA14" s="5"/>
    </row>
    <row r="15" spans="1:27" x14ac:dyDescent="0.3">
      <c r="A15" s="4" t="s">
        <v>124</v>
      </c>
      <c r="B15" s="5"/>
      <c r="C15" s="5"/>
      <c r="D15" s="5"/>
      <c r="E15" s="5"/>
      <c r="F15" s="5"/>
      <c r="G15" s="5" t="str">
        <f t="shared" si="0"/>
        <v/>
      </c>
      <c r="H15" s="6" t="str">
        <f t="shared" si="1"/>
        <v/>
      </c>
      <c r="I15" s="5"/>
      <c r="J15" s="5"/>
      <c r="K15" s="5"/>
      <c r="L15" s="5"/>
      <c r="M15" s="5"/>
      <c r="N15" s="5"/>
      <c r="O15" s="5"/>
      <c r="P15" s="5"/>
      <c r="Q15" s="5"/>
      <c r="R15" s="5"/>
      <c r="S15" s="5"/>
      <c r="T15" s="5"/>
      <c r="U15" s="5"/>
      <c r="V15" s="5"/>
      <c r="W15" s="5"/>
      <c r="X15" s="5"/>
      <c r="Y15" s="5" t="s">
        <v>111</v>
      </c>
      <c r="Z15" s="5"/>
      <c r="AA15" s="5"/>
    </row>
    <row r="16" spans="1:27" x14ac:dyDescent="0.3">
      <c r="A16" s="4" t="s">
        <v>125</v>
      </c>
      <c r="B16" s="5"/>
      <c r="C16" s="5"/>
      <c r="D16" s="5"/>
      <c r="E16" s="5"/>
      <c r="F16" s="5"/>
      <c r="G16" s="5" t="str">
        <f t="shared" si="0"/>
        <v/>
      </c>
      <c r="H16" s="6" t="str">
        <f t="shared" si="1"/>
        <v/>
      </c>
      <c r="I16" s="5"/>
      <c r="J16" s="5"/>
      <c r="K16" s="5"/>
      <c r="L16" s="5"/>
      <c r="M16" s="5"/>
      <c r="N16" s="5"/>
      <c r="O16" s="5"/>
      <c r="P16" s="5"/>
      <c r="Q16" s="5"/>
      <c r="R16" s="5"/>
      <c r="S16" s="5"/>
      <c r="T16" s="5"/>
      <c r="U16" s="5"/>
      <c r="V16" s="5"/>
      <c r="W16" s="5"/>
      <c r="X16" s="5"/>
      <c r="Y16" s="5" t="s">
        <v>111</v>
      </c>
      <c r="Z16" s="5"/>
      <c r="AA16" s="5"/>
    </row>
    <row r="17" spans="1:27" x14ac:dyDescent="0.3">
      <c r="A17" s="4" t="s">
        <v>126</v>
      </c>
      <c r="B17" s="5"/>
      <c r="C17" s="5"/>
      <c r="D17" s="5"/>
      <c r="E17" s="5"/>
      <c r="F17" s="5"/>
      <c r="G17" s="5" t="str">
        <f t="shared" si="0"/>
        <v/>
      </c>
      <c r="H17" s="6" t="str">
        <f t="shared" si="1"/>
        <v/>
      </c>
      <c r="I17" s="5"/>
      <c r="J17" s="5"/>
      <c r="K17" s="5"/>
      <c r="L17" s="5"/>
      <c r="M17" s="5"/>
      <c r="N17" s="5"/>
      <c r="O17" s="5"/>
      <c r="P17" s="5"/>
      <c r="Q17" s="5"/>
      <c r="R17" s="5"/>
      <c r="S17" s="5"/>
      <c r="T17" s="5"/>
      <c r="U17" s="5"/>
      <c r="V17" s="5"/>
      <c r="W17" s="5"/>
      <c r="X17" s="5"/>
      <c r="Y17" s="5" t="s">
        <v>111</v>
      </c>
      <c r="Z17" s="5"/>
      <c r="AA17" s="5"/>
    </row>
    <row r="18" spans="1:27" x14ac:dyDescent="0.3">
      <c r="A18" s="4" t="s">
        <v>127</v>
      </c>
      <c r="B18" s="5"/>
      <c r="C18" s="5"/>
      <c r="D18" s="5"/>
      <c r="E18" s="5"/>
      <c r="F18" s="5"/>
      <c r="G18" s="5" t="str">
        <f t="shared" si="0"/>
        <v/>
      </c>
      <c r="H18" s="6" t="str">
        <f t="shared" si="1"/>
        <v/>
      </c>
      <c r="I18" s="5"/>
      <c r="J18" s="5"/>
      <c r="K18" s="5"/>
      <c r="L18" s="5"/>
      <c r="M18" s="5"/>
      <c r="N18" s="5"/>
      <c r="O18" s="5"/>
      <c r="P18" s="5"/>
      <c r="Q18" s="5"/>
      <c r="R18" s="5"/>
      <c r="S18" s="5"/>
      <c r="T18" s="5"/>
      <c r="U18" s="5"/>
      <c r="V18" s="5"/>
      <c r="W18" s="5"/>
      <c r="X18" s="5"/>
      <c r="Y18" s="5" t="s">
        <v>111</v>
      </c>
      <c r="Z18" s="5"/>
      <c r="AA18" s="5"/>
    </row>
    <row r="19" spans="1:27" x14ac:dyDescent="0.3">
      <c r="A19" s="4" t="s">
        <v>128</v>
      </c>
      <c r="B19" s="5"/>
      <c r="C19" s="5"/>
      <c r="D19" s="5"/>
      <c r="E19" s="5"/>
      <c r="F19" s="5"/>
      <c r="G19" s="5" t="str">
        <f t="shared" si="0"/>
        <v/>
      </c>
      <c r="H19" s="6" t="str">
        <f t="shared" si="1"/>
        <v/>
      </c>
      <c r="I19" s="5"/>
      <c r="J19" s="5"/>
      <c r="K19" s="5"/>
      <c r="L19" s="5"/>
      <c r="M19" s="5"/>
      <c r="N19" s="5"/>
      <c r="O19" s="5"/>
      <c r="P19" s="5"/>
      <c r="Q19" s="5"/>
      <c r="R19" s="5"/>
      <c r="S19" s="5"/>
      <c r="T19" s="5"/>
      <c r="U19" s="5"/>
      <c r="V19" s="5"/>
      <c r="W19" s="5"/>
      <c r="X19" s="5"/>
      <c r="Y19" s="5" t="s">
        <v>111</v>
      </c>
      <c r="Z19" s="5"/>
      <c r="AA19" s="5"/>
    </row>
    <row r="20" spans="1:27" ht="26.4" x14ac:dyDescent="0.3">
      <c r="A20" s="4" t="s">
        <v>129</v>
      </c>
      <c r="B20" s="5"/>
      <c r="C20" s="5"/>
      <c r="D20" s="5"/>
      <c r="E20" s="5"/>
      <c r="F20" s="5"/>
      <c r="G20" s="5" t="str">
        <f t="shared" si="0"/>
        <v/>
      </c>
      <c r="H20" s="6" t="str">
        <f t="shared" si="1"/>
        <v/>
      </c>
      <c r="I20" s="5"/>
      <c r="J20" s="5"/>
      <c r="K20" s="5"/>
      <c r="L20" s="5"/>
      <c r="M20" s="5"/>
      <c r="N20" s="5"/>
      <c r="O20" s="5"/>
      <c r="P20" s="5"/>
      <c r="Q20" s="5"/>
      <c r="R20" s="5"/>
      <c r="S20" s="5"/>
      <c r="T20" s="5"/>
      <c r="U20" s="5"/>
      <c r="V20" s="5"/>
      <c r="W20" s="5"/>
      <c r="X20" s="5"/>
      <c r="Y20" s="5" t="s">
        <v>111</v>
      </c>
      <c r="Z20" s="5"/>
      <c r="AA20" s="5"/>
    </row>
    <row r="21" spans="1:27" x14ac:dyDescent="0.3">
      <c r="A21" s="4" t="s">
        <v>130</v>
      </c>
      <c r="B21" s="5"/>
      <c r="C21" s="5"/>
      <c r="D21" s="5"/>
      <c r="E21" s="5"/>
      <c r="F21" s="5"/>
      <c r="G21" s="5" t="str">
        <f t="shared" si="0"/>
        <v/>
      </c>
      <c r="H21" s="6" t="str">
        <f t="shared" si="1"/>
        <v/>
      </c>
      <c r="I21" s="5"/>
      <c r="J21" s="5"/>
      <c r="K21" s="5"/>
      <c r="L21" s="5"/>
      <c r="M21" s="5"/>
      <c r="N21" s="5"/>
      <c r="O21" s="5"/>
      <c r="P21" s="5"/>
      <c r="Q21" s="5"/>
      <c r="R21" s="5"/>
      <c r="S21" s="5"/>
      <c r="T21" s="5"/>
      <c r="U21" s="5"/>
      <c r="V21" s="5"/>
      <c r="W21" s="5"/>
      <c r="X21" s="5"/>
      <c r="Y21" s="5" t="s">
        <v>111</v>
      </c>
      <c r="Z21" s="5"/>
      <c r="AA21" s="5"/>
    </row>
    <row r="22" spans="1:27" x14ac:dyDescent="0.3">
      <c r="A22" s="7" t="s">
        <v>131</v>
      </c>
      <c r="B22" s="8"/>
      <c r="C22" s="8"/>
      <c r="D22" s="8">
        <f>SUM(D2:D21)</f>
        <v>0</v>
      </c>
      <c r="E22" s="8">
        <f>SUM(E2:E21)</f>
        <v>0</v>
      </c>
      <c r="F22" s="8">
        <f>SUM(F2:F21)</f>
        <v>0</v>
      </c>
      <c r="G22" s="8" t="str">
        <f>IF(SUMPRODUCT((D2:D21&lt;&gt;"")*(E2:E21&lt;&gt;""),D2:D21)=0,"",SUMPRODUCT((D2:D21&lt;&gt;"")*(E2:E21&lt;&gt;""),D2:D21)-SUMPRODUCT((D2:D21&lt;&gt;"")*(E2:E21&lt;&gt;""),E2:E21)-SUMPRODUCT((D2:D21&lt;&gt;"")*(E2:E21&lt;&gt;""),F2:F21))</f>
        <v/>
      </c>
      <c r="H22" s="9" t="str">
        <f>IF(SUMPRODUCT((D2:D21&lt;&gt;"")*(E2:E21&lt;&gt;""),D2:D21)=0,"",SUMPRODUCT((D2:D21&lt;&gt;"")*(E2:E21&lt;&gt;""),E2:E21)/SUMPRODUCT((D2:D21&lt;&gt;"")*(E2:E21&lt;&gt;""),D2:D21))</f>
        <v/>
      </c>
      <c r="I22" s="8"/>
      <c r="J22" s="8"/>
      <c r="K22" s="8"/>
      <c r="L22" s="8"/>
      <c r="M22" s="8"/>
      <c r="N22" s="8"/>
      <c r="O22" s="8"/>
      <c r="P22" s="8"/>
      <c r="Q22" s="8"/>
      <c r="R22" s="8"/>
      <c r="S22" s="8"/>
      <c r="T22" s="8"/>
      <c r="U22" s="8"/>
      <c r="V22" s="8"/>
      <c r="W22" s="8"/>
      <c r="X22" s="8"/>
      <c r="Y22" s="8"/>
      <c r="Z22" s="8"/>
      <c r="AA22" s="8"/>
    </row>
  </sheetData>
  <conditionalFormatting sqref="H2:H22">
    <cfRule type="cellIs" dxfId="0" priority="2" operator="lessThan">
      <formula>0.8</formula>
    </cfRule>
  </conditionalFormatting>
  <dataValidations count="8">
    <dataValidation type="list" allowBlank="1" sqref="C2:C21" xr:uid="{00000000-0002-0000-0100-000000000000}">
      <formula1>"Tier 1 – Critical,Tier 2 – Important,Tier 3 – Standard,Mixed,Unknown"</formula1>
      <formula2>0</formula2>
    </dataValidation>
    <dataValidation type="list" allowBlank="1" sqref="J2:J21" xr:uid="{00000000-0002-0000-0100-000001000000}">
      <formula1>"Recovery Services vault,Backup vault,Service-native (no vault),Third-party,None,Mixed"</formula1>
      <formula2>0</formula2>
    </dataValidation>
    <dataValidation type="list" allowBlank="1" sqref="O2:O21" xr:uid="{00000000-0002-0000-0100-000002000000}">
      <formula1>"Yes,No,Partial,N/A"</formula1>
      <formula2>0</formula2>
    </dataValidation>
    <dataValidation type="list" allowBlank="1" sqref="P2:P21" xr:uid="{00000000-0002-0000-0100-000003000000}">
      <formula1>"Application-consistent,File-system consistent,Crash-consistent,Mixed,N/A"</formula1>
      <formula2>0</formula2>
    </dataValidation>
    <dataValidation type="list" allowBlank="1" sqref="U2:U21" xr:uid="{00000000-0002-0000-0100-000004000000}">
      <formula1>"Yes,Partial,No,Unknown"</formula1>
      <formula2>0</formula2>
    </dataValidation>
    <dataValidation type="list" allowBlank="1" sqref="Y2:Y21" xr:uid="{00000000-0002-0000-0100-000005000000}">
      <formula1>"High,Medium,Low,Unknown"</formula1>
      <formula2>0</formula2>
    </dataValidation>
    <dataValidation type="list" allowBlank="1" sqref="Z2:Z21" xr:uid="{00000000-0002-0000-0100-000006000000}">
      <formula1>"High,Medium,Low,No gap,Not assessed"</formula1>
      <formula2>0</formula2>
    </dataValidation>
    <dataValidation type="whole" operator="greaterThanOrEqual" allowBlank="1" sqref="D2:F21" xr:uid="{00000000-0002-0000-0100-000007000000}">
      <formula1>0</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2"/>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6640625" defaultRowHeight="14.4" x14ac:dyDescent="0.3"/>
  <cols>
    <col min="1" max="1" width="24" customWidth="1"/>
    <col min="2" max="2" width="20" customWidth="1"/>
    <col min="3" max="3" width="22" customWidth="1"/>
    <col min="4" max="4" width="14" customWidth="1"/>
    <col min="5" max="5" width="28" customWidth="1"/>
    <col min="6" max="6" width="18" customWidth="1"/>
    <col min="7" max="7" width="13" customWidth="1"/>
    <col min="8" max="8" width="16" customWidth="1"/>
    <col min="9" max="9" width="13" customWidth="1"/>
    <col min="10" max="10" width="18" customWidth="1"/>
    <col min="11" max="11" width="24" customWidth="1"/>
    <col min="12" max="12" width="18" customWidth="1"/>
    <col min="13" max="13" width="22" customWidth="1"/>
    <col min="14" max="14" width="24" customWidth="1"/>
    <col min="15" max="15" width="22" customWidth="1"/>
    <col min="16" max="16" width="14" customWidth="1"/>
    <col min="17" max="17" width="26" customWidth="1"/>
    <col min="18" max="18" width="12" customWidth="1"/>
    <col min="19" max="19" width="20" customWidth="1"/>
    <col min="20" max="20" width="15" customWidth="1"/>
    <col min="21" max="21" width="30" customWidth="1"/>
  </cols>
  <sheetData>
    <row r="1" spans="1:21" ht="51.75" customHeight="1" x14ac:dyDescent="0.3">
      <c r="A1" s="3" t="s">
        <v>132</v>
      </c>
      <c r="B1" s="3" t="s">
        <v>93</v>
      </c>
      <c r="C1" s="3" t="s">
        <v>133</v>
      </c>
      <c r="D1" s="3" t="s">
        <v>134</v>
      </c>
      <c r="E1" s="3" t="s">
        <v>135</v>
      </c>
      <c r="F1" s="3" t="s">
        <v>136</v>
      </c>
      <c r="G1" s="3" t="s">
        <v>137</v>
      </c>
      <c r="H1" s="3" t="s">
        <v>138</v>
      </c>
      <c r="I1" s="3" t="s">
        <v>139</v>
      </c>
      <c r="J1" s="3" t="s">
        <v>140</v>
      </c>
      <c r="K1" s="3" t="s">
        <v>141</v>
      </c>
      <c r="L1" s="3" t="s">
        <v>142</v>
      </c>
      <c r="M1" s="3" t="s">
        <v>143</v>
      </c>
      <c r="N1" s="3" t="s">
        <v>144</v>
      </c>
      <c r="O1" s="3" t="s">
        <v>145</v>
      </c>
      <c r="P1" s="3" t="s">
        <v>146</v>
      </c>
      <c r="Q1" s="3" t="s">
        <v>147</v>
      </c>
      <c r="R1" s="3" t="s">
        <v>148</v>
      </c>
      <c r="S1" s="3" t="s">
        <v>149</v>
      </c>
      <c r="T1" s="3" t="s">
        <v>150</v>
      </c>
      <c r="U1" s="3" t="s">
        <v>151</v>
      </c>
    </row>
    <row r="2" spans="1:21" x14ac:dyDescent="0.3">
      <c r="A2" s="10"/>
      <c r="B2" s="5"/>
      <c r="C2" s="5"/>
      <c r="D2" s="5"/>
      <c r="E2" s="5"/>
      <c r="F2" s="5"/>
      <c r="G2" s="5"/>
      <c r="H2" s="5"/>
      <c r="I2" s="5"/>
      <c r="J2" s="5"/>
      <c r="K2" s="5"/>
      <c r="L2" s="5"/>
      <c r="M2" s="5"/>
      <c r="N2" s="5"/>
      <c r="O2" s="5"/>
      <c r="P2" s="5"/>
      <c r="Q2" s="5"/>
      <c r="R2" s="5"/>
      <c r="S2" s="5"/>
      <c r="T2" s="5"/>
      <c r="U2" s="5"/>
    </row>
    <row r="3" spans="1:21" x14ac:dyDescent="0.3">
      <c r="A3" s="10"/>
      <c r="B3" s="5"/>
      <c r="C3" s="5"/>
      <c r="D3" s="5"/>
      <c r="E3" s="5"/>
      <c r="F3" s="5"/>
      <c r="G3" s="5"/>
      <c r="H3" s="5"/>
      <c r="I3" s="5"/>
      <c r="J3" s="5"/>
      <c r="K3" s="5"/>
      <c r="L3" s="5"/>
      <c r="M3" s="5"/>
      <c r="N3" s="5"/>
      <c r="O3" s="5"/>
      <c r="P3" s="5"/>
      <c r="Q3" s="5"/>
      <c r="R3" s="5"/>
      <c r="S3" s="5"/>
      <c r="T3" s="5"/>
      <c r="U3" s="5"/>
    </row>
    <row r="4" spans="1:21" x14ac:dyDescent="0.3">
      <c r="A4" s="10"/>
      <c r="B4" s="5"/>
      <c r="C4" s="5"/>
      <c r="D4" s="5"/>
      <c r="E4" s="5"/>
      <c r="F4" s="5"/>
      <c r="G4" s="5"/>
      <c r="H4" s="5"/>
      <c r="I4" s="5"/>
      <c r="J4" s="5"/>
      <c r="K4" s="5"/>
      <c r="L4" s="5"/>
      <c r="M4" s="5"/>
      <c r="N4" s="5"/>
      <c r="O4" s="5"/>
      <c r="P4" s="5"/>
      <c r="Q4" s="5"/>
      <c r="R4" s="5"/>
      <c r="S4" s="5"/>
      <c r="T4" s="5"/>
      <c r="U4" s="5"/>
    </row>
    <row r="5" spans="1:21" x14ac:dyDescent="0.3">
      <c r="A5" s="10"/>
      <c r="B5" s="5"/>
      <c r="C5" s="5"/>
      <c r="D5" s="5"/>
      <c r="E5" s="5"/>
      <c r="F5" s="5"/>
      <c r="G5" s="5"/>
      <c r="H5" s="5"/>
      <c r="I5" s="5"/>
      <c r="J5" s="5"/>
      <c r="K5" s="5"/>
      <c r="L5" s="5"/>
      <c r="M5" s="5"/>
      <c r="N5" s="5"/>
      <c r="O5" s="5"/>
      <c r="P5" s="5"/>
      <c r="Q5" s="5"/>
      <c r="R5" s="5"/>
      <c r="S5" s="5"/>
      <c r="T5" s="5"/>
      <c r="U5" s="5"/>
    </row>
    <row r="6" spans="1:21" x14ac:dyDescent="0.3">
      <c r="A6" s="10"/>
      <c r="B6" s="5"/>
      <c r="C6" s="5"/>
      <c r="D6" s="5"/>
      <c r="E6" s="5"/>
      <c r="F6" s="5"/>
      <c r="G6" s="5"/>
      <c r="H6" s="5"/>
      <c r="I6" s="5"/>
      <c r="J6" s="5"/>
      <c r="K6" s="5"/>
      <c r="L6" s="5"/>
      <c r="M6" s="5"/>
      <c r="N6" s="5"/>
      <c r="O6" s="5"/>
      <c r="P6" s="5"/>
      <c r="Q6" s="5"/>
      <c r="R6" s="5"/>
      <c r="S6" s="5"/>
      <c r="T6" s="5"/>
      <c r="U6" s="5"/>
    </row>
    <row r="7" spans="1:21" x14ac:dyDescent="0.3">
      <c r="A7" s="10"/>
      <c r="B7" s="5"/>
      <c r="C7" s="5"/>
      <c r="D7" s="5"/>
      <c r="E7" s="5"/>
      <c r="F7" s="5"/>
      <c r="G7" s="5"/>
      <c r="H7" s="5"/>
      <c r="I7" s="5"/>
      <c r="J7" s="5"/>
      <c r="K7" s="5"/>
      <c r="L7" s="5"/>
      <c r="M7" s="5"/>
      <c r="N7" s="5"/>
      <c r="O7" s="5"/>
      <c r="P7" s="5"/>
      <c r="Q7" s="5"/>
      <c r="R7" s="5"/>
      <c r="S7" s="5"/>
      <c r="T7" s="5"/>
      <c r="U7" s="5"/>
    </row>
    <row r="8" spans="1:21" x14ac:dyDescent="0.3">
      <c r="A8" s="10"/>
      <c r="B8" s="5"/>
      <c r="C8" s="5"/>
      <c r="D8" s="5"/>
      <c r="E8" s="5"/>
      <c r="F8" s="5"/>
      <c r="G8" s="5"/>
      <c r="H8" s="5"/>
      <c r="I8" s="5"/>
      <c r="J8" s="5"/>
      <c r="K8" s="5"/>
      <c r="L8" s="5"/>
      <c r="M8" s="5"/>
      <c r="N8" s="5"/>
      <c r="O8" s="5"/>
      <c r="P8" s="5"/>
      <c r="Q8" s="5"/>
      <c r="R8" s="5"/>
      <c r="S8" s="5"/>
      <c r="T8" s="5"/>
      <c r="U8" s="5"/>
    </row>
    <row r="9" spans="1:21" x14ac:dyDescent="0.3">
      <c r="A9" s="10"/>
      <c r="B9" s="5"/>
      <c r="C9" s="5"/>
      <c r="D9" s="5"/>
      <c r="E9" s="5"/>
      <c r="F9" s="5"/>
      <c r="G9" s="5"/>
      <c r="H9" s="5"/>
      <c r="I9" s="5"/>
      <c r="J9" s="5"/>
      <c r="K9" s="5"/>
      <c r="L9" s="5"/>
      <c r="M9" s="5"/>
      <c r="N9" s="5"/>
      <c r="O9" s="5"/>
      <c r="P9" s="5"/>
      <c r="Q9" s="5"/>
      <c r="R9" s="5"/>
      <c r="S9" s="5"/>
      <c r="T9" s="5"/>
      <c r="U9" s="5"/>
    </row>
    <row r="10" spans="1:21" x14ac:dyDescent="0.3">
      <c r="A10" s="10"/>
      <c r="B10" s="5"/>
      <c r="C10" s="5"/>
      <c r="D10" s="5"/>
      <c r="E10" s="5"/>
      <c r="F10" s="5"/>
      <c r="G10" s="5"/>
      <c r="H10" s="5"/>
      <c r="I10" s="5"/>
      <c r="J10" s="5"/>
      <c r="K10" s="5"/>
      <c r="L10" s="5"/>
      <c r="M10" s="5"/>
      <c r="N10" s="5"/>
      <c r="O10" s="5"/>
      <c r="P10" s="5"/>
      <c r="Q10" s="5"/>
      <c r="R10" s="5"/>
      <c r="S10" s="5"/>
      <c r="T10" s="5"/>
      <c r="U10" s="5"/>
    </row>
    <row r="11" spans="1:21" x14ac:dyDescent="0.3">
      <c r="A11" s="10"/>
      <c r="B11" s="5"/>
      <c r="C11" s="5"/>
      <c r="D11" s="5"/>
      <c r="E11" s="5"/>
      <c r="F11" s="5"/>
      <c r="G11" s="5"/>
      <c r="H11" s="5"/>
      <c r="I11" s="5"/>
      <c r="J11" s="5"/>
      <c r="K11" s="5"/>
      <c r="L11" s="5"/>
      <c r="M11" s="5"/>
      <c r="N11" s="5"/>
      <c r="O11" s="5"/>
      <c r="P11" s="5"/>
      <c r="Q11" s="5"/>
      <c r="R11" s="5"/>
      <c r="S11" s="5"/>
      <c r="T11" s="5"/>
      <c r="U11" s="5"/>
    </row>
    <row r="12" spans="1:21" x14ac:dyDescent="0.3">
      <c r="A12" s="10"/>
      <c r="B12" s="5"/>
      <c r="C12" s="5"/>
      <c r="D12" s="5"/>
      <c r="E12" s="5"/>
      <c r="F12" s="5"/>
      <c r="G12" s="5"/>
      <c r="H12" s="5"/>
      <c r="I12" s="5"/>
      <c r="J12" s="5"/>
      <c r="K12" s="5"/>
      <c r="L12" s="5"/>
      <c r="M12" s="5"/>
      <c r="N12" s="5"/>
      <c r="O12" s="5"/>
      <c r="P12" s="5"/>
      <c r="Q12" s="5"/>
      <c r="R12" s="5"/>
      <c r="S12" s="5"/>
      <c r="T12" s="5"/>
      <c r="U12" s="5"/>
    </row>
    <row r="13" spans="1:21" x14ac:dyDescent="0.3">
      <c r="A13" s="10"/>
      <c r="B13" s="5"/>
      <c r="C13" s="5"/>
      <c r="D13" s="5"/>
      <c r="E13" s="5"/>
      <c r="F13" s="5"/>
      <c r="G13" s="5"/>
      <c r="H13" s="5"/>
      <c r="I13" s="5"/>
      <c r="J13" s="5"/>
      <c r="K13" s="5"/>
      <c r="L13" s="5"/>
      <c r="M13" s="5"/>
      <c r="N13" s="5"/>
      <c r="O13" s="5"/>
      <c r="P13" s="5"/>
      <c r="Q13" s="5"/>
      <c r="R13" s="5"/>
      <c r="S13" s="5"/>
      <c r="T13" s="5"/>
      <c r="U13" s="5"/>
    </row>
    <row r="14" spans="1:21" x14ac:dyDescent="0.3">
      <c r="A14" s="10"/>
      <c r="B14" s="5"/>
      <c r="C14" s="5"/>
      <c r="D14" s="5"/>
      <c r="E14" s="5"/>
      <c r="F14" s="5"/>
      <c r="G14" s="5"/>
      <c r="H14" s="5"/>
      <c r="I14" s="5"/>
      <c r="J14" s="5"/>
      <c r="K14" s="5"/>
      <c r="L14" s="5"/>
      <c r="M14" s="5"/>
      <c r="N14" s="5"/>
      <c r="O14" s="5"/>
      <c r="P14" s="5"/>
      <c r="Q14" s="5"/>
      <c r="R14" s="5"/>
      <c r="S14" s="5"/>
      <c r="T14" s="5"/>
      <c r="U14" s="5"/>
    </row>
    <row r="15" spans="1:21" x14ac:dyDescent="0.3">
      <c r="A15" s="10"/>
      <c r="B15" s="5"/>
      <c r="C15" s="5"/>
      <c r="D15" s="5"/>
      <c r="E15" s="5"/>
      <c r="F15" s="5"/>
      <c r="G15" s="5"/>
      <c r="H15" s="5"/>
      <c r="I15" s="5"/>
      <c r="J15" s="5"/>
      <c r="K15" s="5"/>
      <c r="L15" s="5"/>
      <c r="M15" s="5"/>
      <c r="N15" s="5"/>
      <c r="O15" s="5"/>
      <c r="P15" s="5"/>
      <c r="Q15" s="5"/>
      <c r="R15" s="5"/>
      <c r="S15" s="5"/>
      <c r="T15" s="5"/>
      <c r="U15" s="5"/>
    </row>
    <row r="16" spans="1:21" x14ac:dyDescent="0.3">
      <c r="A16" s="10"/>
      <c r="B16" s="5"/>
      <c r="C16" s="5"/>
      <c r="D16" s="5"/>
      <c r="E16" s="5"/>
      <c r="F16" s="5"/>
      <c r="G16" s="5"/>
      <c r="H16" s="5"/>
      <c r="I16" s="5"/>
      <c r="J16" s="5"/>
      <c r="K16" s="5"/>
      <c r="L16" s="5"/>
      <c r="M16" s="5"/>
      <c r="N16" s="5"/>
      <c r="O16" s="5"/>
      <c r="P16" s="5"/>
      <c r="Q16" s="5"/>
      <c r="R16" s="5"/>
      <c r="S16" s="5"/>
      <c r="T16" s="5"/>
      <c r="U16" s="5"/>
    </row>
    <row r="17" spans="1:21" x14ac:dyDescent="0.3">
      <c r="A17" s="10"/>
      <c r="B17" s="5"/>
      <c r="C17" s="5"/>
      <c r="D17" s="5"/>
      <c r="E17" s="5"/>
      <c r="F17" s="5"/>
      <c r="G17" s="5"/>
      <c r="H17" s="5"/>
      <c r="I17" s="5"/>
      <c r="J17" s="5"/>
      <c r="K17" s="5"/>
      <c r="L17" s="5"/>
      <c r="M17" s="5"/>
      <c r="N17" s="5"/>
      <c r="O17" s="5"/>
      <c r="P17" s="5"/>
      <c r="Q17" s="5"/>
      <c r="R17" s="5"/>
      <c r="S17" s="5"/>
      <c r="T17" s="5"/>
      <c r="U17" s="5"/>
    </row>
    <row r="18" spans="1:21" x14ac:dyDescent="0.3">
      <c r="A18" s="10"/>
      <c r="B18" s="5"/>
      <c r="C18" s="5"/>
      <c r="D18" s="5"/>
      <c r="E18" s="5"/>
      <c r="F18" s="5"/>
      <c r="G18" s="5"/>
      <c r="H18" s="5"/>
      <c r="I18" s="5"/>
      <c r="J18" s="5"/>
      <c r="K18" s="5"/>
      <c r="L18" s="5"/>
      <c r="M18" s="5"/>
      <c r="N18" s="5"/>
      <c r="O18" s="5"/>
      <c r="P18" s="5"/>
      <c r="Q18" s="5"/>
      <c r="R18" s="5"/>
      <c r="S18" s="5"/>
      <c r="T18" s="5"/>
      <c r="U18" s="5"/>
    </row>
    <row r="19" spans="1:21" x14ac:dyDescent="0.3">
      <c r="A19" s="10"/>
      <c r="B19" s="5"/>
      <c r="C19" s="5"/>
      <c r="D19" s="5"/>
      <c r="E19" s="5"/>
      <c r="F19" s="5"/>
      <c r="G19" s="5"/>
      <c r="H19" s="5"/>
      <c r="I19" s="5"/>
      <c r="J19" s="5"/>
      <c r="K19" s="5"/>
      <c r="L19" s="5"/>
      <c r="M19" s="5"/>
      <c r="N19" s="5"/>
      <c r="O19" s="5"/>
      <c r="P19" s="5"/>
      <c r="Q19" s="5"/>
      <c r="R19" s="5"/>
      <c r="S19" s="5"/>
      <c r="T19" s="5"/>
      <c r="U19" s="5"/>
    </row>
    <row r="20" spans="1:21" x14ac:dyDescent="0.3">
      <c r="A20" s="10"/>
      <c r="B20" s="5"/>
      <c r="C20" s="5"/>
      <c r="D20" s="5"/>
      <c r="E20" s="5"/>
      <c r="F20" s="5"/>
      <c r="G20" s="5"/>
      <c r="H20" s="5"/>
      <c r="I20" s="5"/>
      <c r="J20" s="5"/>
      <c r="K20" s="5"/>
      <c r="L20" s="5"/>
      <c r="M20" s="5"/>
      <c r="N20" s="5"/>
      <c r="O20" s="5"/>
      <c r="P20" s="5"/>
      <c r="Q20" s="5"/>
      <c r="R20" s="5"/>
      <c r="S20" s="5"/>
      <c r="T20" s="5"/>
      <c r="U20" s="5"/>
    </row>
    <row r="21" spans="1:21" x14ac:dyDescent="0.3">
      <c r="A21" s="10"/>
      <c r="B21" s="5"/>
      <c r="C21" s="5"/>
      <c r="D21" s="5"/>
      <c r="E21" s="5"/>
      <c r="F21" s="5"/>
      <c r="G21" s="5"/>
      <c r="H21" s="5"/>
      <c r="I21" s="5"/>
      <c r="J21" s="5"/>
      <c r="K21" s="5"/>
      <c r="L21" s="5"/>
      <c r="M21" s="5"/>
      <c r="N21" s="5"/>
      <c r="O21" s="5"/>
      <c r="P21" s="5"/>
      <c r="Q21" s="5"/>
      <c r="R21" s="5"/>
      <c r="S21" s="5"/>
      <c r="T21" s="5"/>
      <c r="U21" s="5"/>
    </row>
    <row r="22" spans="1:21" x14ac:dyDescent="0.3">
      <c r="A22" s="10"/>
      <c r="B22" s="5"/>
      <c r="C22" s="5"/>
      <c r="D22" s="5"/>
      <c r="E22" s="5"/>
      <c r="F22" s="5"/>
      <c r="G22" s="5"/>
      <c r="H22" s="5"/>
      <c r="I22" s="5"/>
      <c r="J22" s="5"/>
      <c r="K22" s="5"/>
      <c r="L22" s="5"/>
      <c r="M22" s="5"/>
      <c r="N22" s="5"/>
      <c r="O22" s="5"/>
      <c r="P22" s="5"/>
      <c r="Q22" s="5"/>
      <c r="R22" s="5"/>
      <c r="S22" s="5"/>
      <c r="T22" s="5"/>
      <c r="U22" s="5"/>
    </row>
  </sheetData>
  <dataValidations count="13">
    <dataValidation type="list" allowBlank="1" sqref="B2:B22" xr:uid="{00000000-0002-0000-0200-000000000000}">
      <formula1>"Recovery Services vault,Backup vault"</formula1>
      <formula2>0</formula2>
    </dataValidation>
    <dataValidation type="list" allowBlank="1" sqref="F2:F22" xr:uid="{00000000-0002-0000-0200-000001000000}">
      <formula1>"Locally-redundant,Zone-redundant,Geo-redundant"</formula1>
      <formula2>0</formula2>
    </dataValidation>
    <dataValidation type="list" allowBlank="1" sqref="G2:G22" xr:uid="{00000000-0002-0000-0200-000002000000}">
      <formula1>"Yes,No,N/A (not geo-redundant)"</formula1>
      <formula2>0</formula2>
    </dataValidation>
    <dataValidation type="list" allowBlank="1" sqref="H2:H22" xr:uid="{00000000-0002-0000-0200-000003000000}">
      <formula1>"Enabled,Enabled – always-on,Disabled"</formula1>
      <formula2>0</formula2>
    </dataValidation>
    <dataValidation type="whole" allowBlank="1" showErrorMessage="1" error="Azure soft delete retention is 14–180 days." sqref="I2:I22" xr:uid="{00000000-0002-0000-0200-000004000000}">
      <formula1>14</formula1>
      <formula2>180</formula2>
    </dataValidation>
    <dataValidation type="list" allowBlank="1" sqref="J2:J22" xr:uid="{00000000-0002-0000-0200-000005000000}">
      <formula1>"Disabled,Enabled (unlocked),Enabled and locked"</formula1>
      <formula2>0</formula2>
    </dataValidation>
    <dataValidation type="list" allowBlank="1" sqref="K2:K22" xr:uid="{00000000-0002-0000-0200-000006000000}">
      <formula1>"Enable based on backup policy,Enable for specific duration"</formula1>
      <formula2>0</formula2>
    </dataValidation>
    <dataValidation type="list" allowBlank="1" sqref="L2:L22 T2:T22 R2:R22" xr:uid="{00000000-0002-0000-0200-000007000000}">
      <formula1>"Yes,No"</formula1>
      <formula2>0</formula2>
    </dataValidation>
    <dataValidation type="list" allowBlank="1" sqref="M2:M22" xr:uid="{00000000-0002-0000-0200-000008000000}">
      <formula1>"System-assigned,User-assigned,None"</formula1>
      <formula2>0</formula2>
    </dataValidation>
    <dataValidation type="list" allowBlank="1" sqref="N2:N22" xr:uid="{00000000-0002-0000-0200-000009000000}">
      <formula1>"Use Microsoft-managed key (default),Use customer-managed key"</formula1>
      <formula2>0</formula2>
    </dataValidation>
    <dataValidation type="list" allowBlank="1" sqref="P2:P22" xr:uid="{00000000-0002-0000-0200-00000A000000}">
      <formula1>"Yes,No,N/A"</formula1>
      <formula2>0</formula2>
    </dataValidation>
    <dataValidation type="list" allowBlank="1" sqref="Q2:Q22" xr:uid="{00000000-0002-0000-0200-00000B000000}">
      <formula1>"Allow public access,Deny public access and allow private access"</formula1>
      <formula2>0</formula2>
    </dataValidation>
    <dataValidation type="list" allowBlank="1" sqref="S2:S22" xr:uid="{00000000-0002-0000-0200-00000D000000}">
      <formula1>"Yes,Partial,No,Unknown"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1"/>
  <sheetViews>
    <sheetView zoomScaleNormal="100" workbookViewId="0">
      <pane xSplit="1" ySplit="1" topLeftCell="B2" activePane="bottomRight" state="frozen"/>
      <selection pane="topRight" activeCell="B1" sqref="B1"/>
      <selection pane="bottomLeft" activeCell="A2" sqref="A2"/>
      <selection pane="bottomRight" activeCell="E18" sqref="E18"/>
    </sheetView>
  </sheetViews>
  <sheetFormatPr defaultColWidth="8.6640625" defaultRowHeight="14.4" x14ac:dyDescent="0.3"/>
  <cols>
    <col min="1" max="1" width="22" customWidth="1"/>
    <col min="2" max="2" width="13" customWidth="1"/>
    <col min="3" max="3" width="22" customWidth="1"/>
    <col min="4" max="4" width="13" customWidth="1"/>
    <col min="5" max="5" width="16" customWidth="1"/>
    <col min="6" max="6" width="18" customWidth="1"/>
    <col min="7" max="7" width="24" customWidth="1"/>
    <col min="8" max="8" width="10" customWidth="1"/>
    <col min="9" max="9" width="14" customWidth="1"/>
    <col min="10" max="10" width="16" customWidth="1"/>
    <col min="11" max="11" width="22" customWidth="1"/>
    <col min="12" max="12" width="20" customWidth="1"/>
    <col min="13" max="14" width="16" customWidth="1"/>
    <col min="15" max="15" width="14" customWidth="1"/>
    <col min="16" max="16" width="13" customWidth="1"/>
    <col min="17" max="17" width="18" customWidth="1"/>
    <col min="18" max="18" width="22" customWidth="1"/>
    <col min="19" max="19" width="14" customWidth="1"/>
    <col min="20" max="20" width="16" customWidth="1"/>
    <col min="21" max="21" width="12" customWidth="1"/>
    <col min="22" max="22" width="18" customWidth="1"/>
    <col min="23" max="24" width="10" customWidth="1"/>
    <col min="25" max="25" width="20" customWidth="1"/>
    <col min="26" max="26" width="16" customWidth="1"/>
    <col min="27" max="27" width="18" customWidth="1"/>
    <col min="28" max="28" width="30" customWidth="1"/>
  </cols>
  <sheetData>
    <row r="1" spans="1:28" ht="51.75" customHeight="1" x14ac:dyDescent="0.3">
      <c r="A1" s="3" t="s">
        <v>152</v>
      </c>
      <c r="B1" s="3" t="s">
        <v>153</v>
      </c>
      <c r="C1" s="3" t="s">
        <v>154</v>
      </c>
      <c r="D1" s="3" t="s">
        <v>155</v>
      </c>
      <c r="E1" s="3" t="s">
        <v>86</v>
      </c>
      <c r="F1" s="3" t="s">
        <v>156</v>
      </c>
      <c r="G1" s="3" t="s">
        <v>157</v>
      </c>
      <c r="H1" s="3" t="s">
        <v>158</v>
      </c>
      <c r="I1" s="3" t="s">
        <v>159</v>
      </c>
      <c r="J1" s="3" t="s">
        <v>160</v>
      </c>
      <c r="K1" s="3" t="s">
        <v>161</v>
      </c>
      <c r="L1" s="3" t="s">
        <v>162</v>
      </c>
      <c r="M1" s="3" t="s">
        <v>163</v>
      </c>
      <c r="N1" s="3" t="s">
        <v>164</v>
      </c>
      <c r="O1" s="3" t="s">
        <v>165</v>
      </c>
      <c r="P1" s="3" t="s">
        <v>166</v>
      </c>
      <c r="Q1" s="3" t="s">
        <v>167</v>
      </c>
      <c r="R1" s="3" t="s">
        <v>168</v>
      </c>
      <c r="S1" s="3" t="s">
        <v>96</v>
      </c>
      <c r="T1" s="3" t="s">
        <v>169</v>
      </c>
      <c r="U1" s="3" t="s">
        <v>170</v>
      </c>
      <c r="V1" s="3" t="s">
        <v>171</v>
      </c>
      <c r="W1" s="3" t="s">
        <v>100</v>
      </c>
      <c r="X1" s="3" t="s">
        <v>102</v>
      </c>
      <c r="Y1" s="3" t="s">
        <v>103</v>
      </c>
      <c r="Z1" s="3" t="s">
        <v>172</v>
      </c>
      <c r="AA1" s="3" t="s">
        <v>173</v>
      </c>
      <c r="AB1" s="3" t="s">
        <v>151</v>
      </c>
    </row>
    <row r="2" spans="1:28" x14ac:dyDescent="0.3">
      <c r="A2" s="10"/>
      <c r="B2" s="5"/>
      <c r="C2" s="5"/>
      <c r="D2" s="5"/>
      <c r="E2" s="5"/>
      <c r="F2" s="5"/>
      <c r="G2" s="5"/>
      <c r="H2" s="5"/>
      <c r="I2" s="5"/>
      <c r="J2" s="5"/>
      <c r="K2" s="5"/>
      <c r="L2" s="5"/>
      <c r="M2" s="5"/>
      <c r="N2" s="5"/>
      <c r="O2" s="5"/>
      <c r="P2" s="5"/>
      <c r="Q2" s="5"/>
      <c r="R2" s="5"/>
      <c r="S2" s="5"/>
      <c r="T2" s="5"/>
      <c r="U2" s="5"/>
      <c r="V2" s="5"/>
      <c r="W2" s="5"/>
      <c r="X2" s="5"/>
      <c r="Y2" s="5"/>
      <c r="Z2" s="5"/>
      <c r="AA2" s="5"/>
      <c r="AB2" s="5"/>
    </row>
    <row r="3" spans="1:28" x14ac:dyDescent="0.3">
      <c r="A3" s="10"/>
      <c r="B3" s="5"/>
      <c r="C3" s="5"/>
      <c r="D3" s="5"/>
      <c r="E3" s="5"/>
      <c r="F3" s="5"/>
      <c r="G3" s="5"/>
      <c r="H3" s="5"/>
      <c r="I3" s="5"/>
      <c r="J3" s="5"/>
      <c r="K3" s="5"/>
      <c r="L3" s="5"/>
      <c r="M3" s="5"/>
      <c r="N3" s="5"/>
      <c r="O3" s="5"/>
      <c r="P3" s="5"/>
      <c r="Q3" s="5"/>
      <c r="R3" s="5"/>
      <c r="S3" s="5"/>
      <c r="T3" s="5"/>
      <c r="U3" s="5"/>
      <c r="V3" s="5"/>
      <c r="W3" s="5"/>
      <c r="X3" s="5"/>
      <c r="Y3" s="5"/>
      <c r="Z3" s="5"/>
      <c r="AA3" s="5"/>
      <c r="AB3" s="5"/>
    </row>
    <row r="4" spans="1:28" x14ac:dyDescent="0.3">
      <c r="A4" s="10"/>
      <c r="B4" s="5"/>
      <c r="C4" s="5"/>
      <c r="D4" s="5"/>
      <c r="E4" s="5"/>
      <c r="F4" s="5"/>
      <c r="G4" s="5"/>
      <c r="H4" s="5"/>
      <c r="I4" s="5"/>
      <c r="J4" s="5"/>
      <c r="K4" s="5"/>
      <c r="L4" s="5"/>
      <c r="M4" s="5"/>
      <c r="N4" s="5"/>
      <c r="O4" s="5"/>
      <c r="P4" s="5"/>
      <c r="Q4" s="5"/>
      <c r="R4" s="5"/>
      <c r="S4" s="5"/>
      <c r="T4" s="5"/>
      <c r="U4" s="5"/>
      <c r="V4" s="5"/>
      <c r="W4" s="5"/>
      <c r="X4" s="5"/>
      <c r="Y4" s="5"/>
      <c r="Z4" s="5"/>
      <c r="AA4" s="5"/>
      <c r="AB4" s="5"/>
    </row>
    <row r="5" spans="1:28" x14ac:dyDescent="0.3">
      <c r="A5" s="10"/>
      <c r="B5" s="5"/>
      <c r="C5" s="5"/>
      <c r="D5" s="5"/>
      <c r="E5" s="5"/>
      <c r="F5" s="5"/>
      <c r="G5" s="5"/>
      <c r="H5" s="5"/>
      <c r="I5" s="5"/>
      <c r="J5" s="5"/>
      <c r="K5" s="5"/>
      <c r="L5" s="5"/>
      <c r="M5" s="5"/>
      <c r="N5" s="5"/>
      <c r="O5" s="5"/>
      <c r="P5" s="5"/>
      <c r="Q5" s="5"/>
      <c r="R5" s="5"/>
      <c r="S5" s="5"/>
      <c r="T5" s="5"/>
      <c r="U5" s="5"/>
      <c r="V5" s="5"/>
      <c r="W5" s="5"/>
      <c r="X5" s="5"/>
      <c r="Y5" s="5"/>
      <c r="Z5" s="5"/>
      <c r="AA5" s="5"/>
      <c r="AB5" s="5"/>
    </row>
    <row r="6" spans="1:28" x14ac:dyDescent="0.3">
      <c r="A6" s="10"/>
      <c r="B6" s="5"/>
      <c r="C6" s="5"/>
      <c r="D6" s="5"/>
      <c r="E6" s="5"/>
      <c r="F6" s="5"/>
      <c r="G6" s="5"/>
      <c r="H6" s="5"/>
      <c r="I6" s="5"/>
      <c r="J6" s="5"/>
      <c r="K6" s="5"/>
      <c r="L6" s="5"/>
      <c r="M6" s="5"/>
      <c r="N6" s="5"/>
      <c r="O6" s="5"/>
      <c r="P6" s="5"/>
      <c r="Q6" s="5"/>
      <c r="R6" s="5"/>
      <c r="S6" s="5"/>
      <c r="T6" s="5"/>
      <c r="U6" s="5"/>
      <c r="V6" s="5"/>
      <c r="W6" s="5"/>
      <c r="X6" s="5"/>
      <c r="Y6" s="5"/>
      <c r="Z6" s="5"/>
      <c r="AA6" s="5"/>
      <c r="AB6" s="5"/>
    </row>
    <row r="7" spans="1:28" x14ac:dyDescent="0.3">
      <c r="A7" s="10"/>
      <c r="B7" s="5"/>
      <c r="C7" s="5"/>
      <c r="D7" s="5"/>
      <c r="E7" s="5"/>
      <c r="F7" s="5"/>
      <c r="G7" s="5"/>
      <c r="H7" s="5"/>
      <c r="I7" s="5"/>
      <c r="J7" s="5"/>
      <c r="K7" s="5"/>
      <c r="L7" s="5"/>
      <c r="M7" s="5"/>
      <c r="N7" s="5"/>
      <c r="O7" s="5"/>
      <c r="P7" s="5"/>
      <c r="Q7" s="5"/>
      <c r="R7" s="5"/>
      <c r="S7" s="5"/>
      <c r="T7" s="5"/>
      <c r="U7" s="5"/>
      <c r="V7" s="5"/>
      <c r="W7" s="5"/>
      <c r="X7" s="5"/>
      <c r="Y7" s="5"/>
      <c r="Z7" s="5"/>
      <c r="AA7" s="5"/>
      <c r="AB7" s="5"/>
    </row>
    <row r="8" spans="1:28" x14ac:dyDescent="0.3">
      <c r="A8" s="10"/>
      <c r="B8" s="5"/>
      <c r="C8" s="5"/>
      <c r="D8" s="5"/>
      <c r="E8" s="5"/>
      <c r="F8" s="5"/>
      <c r="G8" s="5"/>
      <c r="H8" s="5"/>
      <c r="I8" s="5"/>
      <c r="J8" s="5"/>
      <c r="K8" s="5"/>
      <c r="L8" s="5"/>
      <c r="M8" s="5"/>
      <c r="N8" s="5"/>
      <c r="O8" s="5"/>
      <c r="P8" s="5"/>
      <c r="Q8" s="5"/>
      <c r="R8" s="5"/>
      <c r="S8" s="5"/>
      <c r="T8" s="5"/>
      <c r="U8" s="5"/>
      <c r="V8" s="5"/>
      <c r="W8" s="5"/>
      <c r="X8" s="5"/>
      <c r="Y8" s="5"/>
      <c r="Z8" s="5"/>
      <c r="AA8" s="5"/>
      <c r="AB8" s="5"/>
    </row>
    <row r="9" spans="1:28" x14ac:dyDescent="0.3">
      <c r="A9" s="10"/>
      <c r="B9" s="5"/>
      <c r="C9" s="5"/>
      <c r="D9" s="5"/>
      <c r="E9" s="5"/>
      <c r="F9" s="5"/>
      <c r="G9" s="5"/>
      <c r="H9" s="5"/>
      <c r="I9" s="5"/>
      <c r="J9" s="5"/>
      <c r="K9" s="5"/>
      <c r="L9" s="5"/>
      <c r="M9" s="5"/>
      <c r="N9" s="5"/>
      <c r="O9" s="5"/>
      <c r="P9" s="5"/>
      <c r="Q9" s="5"/>
      <c r="R9" s="5"/>
      <c r="S9" s="5"/>
      <c r="T9" s="5"/>
      <c r="U9" s="5"/>
      <c r="V9" s="5"/>
      <c r="W9" s="5"/>
      <c r="X9" s="5"/>
      <c r="Y9" s="5"/>
      <c r="Z9" s="5"/>
      <c r="AA9" s="5"/>
      <c r="AB9" s="5"/>
    </row>
    <row r="10" spans="1:28" x14ac:dyDescent="0.3">
      <c r="A10" s="10"/>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1:28" x14ac:dyDescent="0.3">
      <c r="A11" s="10"/>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1:28" x14ac:dyDescent="0.3">
      <c r="A12" s="10"/>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1:28" x14ac:dyDescent="0.3">
      <c r="A13" s="10"/>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1:28" x14ac:dyDescent="0.3">
      <c r="A14" s="10"/>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28" x14ac:dyDescent="0.3">
      <c r="A15" s="10"/>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1:28" x14ac:dyDescent="0.3">
      <c r="A16" s="10"/>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x14ac:dyDescent="0.3">
      <c r="A17" s="10"/>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x14ac:dyDescent="0.3">
      <c r="A18" s="10"/>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x14ac:dyDescent="0.3">
      <c r="A19" s="10"/>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x14ac:dyDescent="0.3">
      <c r="A20" s="10"/>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1:28" x14ac:dyDescent="0.3">
      <c r="A21" s="10"/>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1:28" x14ac:dyDescent="0.3">
      <c r="A22" s="10"/>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1:28" x14ac:dyDescent="0.3">
      <c r="A23" s="10"/>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28" x14ac:dyDescent="0.3">
      <c r="A24" s="10"/>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1:28" x14ac:dyDescent="0.3">
      <c r="A25" s="10"/>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28" x14ac:dyDescent="0.3">
      <c r="A26" s="10"/>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1:28" x14ac:dyDescent="0.3">
      <c r="A27" s="10"/>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1:28" x14ac:dyDescent="0.3">
      <c r="A28" s="10"/>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1:28" x14ac:dyDescent="0.3">
      <c r="A29" s="10"/>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1:28" x14ac:dyDescent="0.3">
      <c r="A30" s="10"/>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1:28" x14ac:dyDescent="0.3">
      <c r="A31" s="10"/>
      <c r="B31" s="5"/>
      <c r="C31" s="5"/>
      <c r="D31" s="5"/>
      <c r="E31" s="5"/>
      <c r="F31" s="5"/>
      <c r="G31" s="5"/>
      <c r="H31" s="5"/>
      <c r="I31" s="5"/>
      <c r="J31" s="5"/>
      <c r="K31" s="5"/>
      <c r="L31" s="5"/>
      <c r="M31" s="5"/>
      <c r="N31" s="5"/>
      <c r="O31" s="5"/>
      <c r="P31" s="5"/>
      <c r="Q31" s="5"/>
      <c r="R31" s="5"/>
      <c r="S31" s="5"/>
      <c r="T31" s="5"/>
      <c r="U31" s="5"/>
      <c r="V31" s="5"/>
      <c r="W31" s="5"/>
      <c r="X31" s="5"/>
      <c r="Y31" s="5"/>
      <c r="Z31" s="5"/>
      <c r="AA31" s="5"/>
      <c r="AB31" s="5"/>
    </row>
  </sheetData>
  <dataValidations count="9">
    <dataValidation type="list" allowBlank="1" sqref="B2:B31" xr:uid="{00000000-0002-0000-0300-000000000000}">
      <formula1>"Oracle,SQL Server,SAP HANA,PostgreSQL,MySQL,Other"</formula1>
      <formula2>0</formula2>
    </dataValidation>
    <dataValidation type="list" allowBlank="1" sqref="C2:C31" xr:uid="{00000000-0002-0000-0300-000001000000}">
      <formula1>"Azure VM,Oracle Database@Azure,Azure PaaS,On-premises,Other"</formula1>
      <formula2>0</formula2>
    </dataValidation>
    <dataValidation type="list" allowBlank="1" sqref="D2:D31" xr:uid="{00000000-0002-0000-0300-000002000000}">
      <formula1>"Production,Non-production,DR"</formula1>
      <formula2>0</formula2>
    </dataValidation>
    <dataValidation type="list" allowBlank="1" sqref="E2:E31" xr:uid="{00000000-0002-0000-0300-000003000000}">
      <formula1>"Tier 1 – Critical,Tier 2 – Important,Tier 3 – Standard,Unknown"</formula1>
      <formula2>0</formula2>
    </dataValidation>
    <dataValidation type="list" allowBlank="1" sqref="J2:J31" xr:uid="{00000000-0002-0000-0300-000004000000}">
      <formula1>"ARCHIVELOG,NOARCHIVELOG,Full recovery,Simple recovery,N/A"</formula1>
      <formula2>0</formula2>
    </dataValidation>
    <dataValidation type="list" allowBlank="1" sqref="P2:P31" xr:uid="{00000000-0002-0000-0300-000005000000}">
      <formula1>"Yes,No,N/A"</formula1>
      <formula2>0</formula2>
    </dataValidation>
    <dataValidation type="list" allowBlank="1" sqref="U2:U31" xr:uid="{00000000-0002-0000-0300-000006000000}">
      <formula1>"Yes,No,Unknown"</formula1>
      <formula2>0</formula2>
    </dataValidation>
    <dataValidation type="list" allowBlank="1" sqref="Z2:Z31" xr:uid="{00000000-0002-0000-0300-000007000000}">
      <formula1>"Not started,In progress,Passed,Failed,N/A"</formula1>
      <formula2>0</formula2>
    </dataValidation>
    <dataValidation type="decimal" operator="greaterThanOrEqual" allowBlank="1" sqref="H2:I31" xr:uid="{00000000-0002-0000-0300-000008000000}">
      <formula1>0</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Questionnaire</vt:lpstr>
      <vt:lpstr>Protection Inventory</vt:lpstr>
      <vt:lpstr>Vault Configuration</vt:lpstr>
      <vt:lpstr>Database Protection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Omer Zubair</dc:creator>
  <dc:description/>
  <cp:lastModifiedBy>Omer Zubair</cp:lastModifiedBy>
  <cp:revision>0</cp:revision>
  <dcterms:created xsi:type="dcterms:W3CDTF">2026-10-12T16:32:23Z</dcterms:created>
  <dcterms:modified xsi:type="dcterms:W3CDTF">2026-10-13T00:52:34Z</dcterms:modified>
  <dc:language>en-US</dc:language>
</cp:coreProperties>
</file>